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brocku-my.sharepoint.com/personal/lc15kl_brocku_ca/Documents/Brock Files/OE3C 2025-2026/Catering/"/>
    </mc:Choice>
  </mc:AlternateContent>
  <xr:revisionPtr revIDLastSave="394" documentId="8_{559C0B89-E86D-451D-8498-80D9335AF837}" xr6:coauthVersionLast="47" xr6:coauthVersionMax="47" xr10:uidLastSave="{95701B6C-80B7-46AC-B822-853C88D02ED6}"/>
  <bookViews>
    <workbookView xWindow="19110" yWindow="-90" windowWidth="19380" windowHeight="10260" firstSheet="1" activeTab="1" xr2:uid="{D3A8F610-DEF9-4677-8017-71853BB84063}"/>
  </bookViews>
  <sheets>
    <sheet name="Order Cost" sheetId="1" r:id="rId1"/>
    <sheet name="Order Breakdown per Da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Q19" i="2"/>
  <c r="Q20" i="2"/>
  <c r="Q21" i="2"/>
  <c r="Q22" i="2"/>
  <c r="Q23" i="2"/>
  <c r="Q24" i="2"/>
  <c r="Q25" i="2"/>
  <c r="Q26" i="2"/>
  <c r="K19" i="2"/>
  <c r="K20" i="2"/>
  <c r="K21" i="2"/>
  <c r="K22" i="2"/>
  <c r="K23" i="2"/>
  <c r="K24" i="2"/>
  <c r="K25" i="2"/>
  <c r="Q18" i="2"/>
  <c r="K18" i="2"/>
  <c r="E18" i="2"/>
  <c r="E19" i="2"/>
  <c r="E20" i="2"/>
  <c r="E21" i="2"/>
  <c r="E22" i="2"/>
  <c r="E23" i="2"/>
  <c r="E24" i="2"/>
  <c r="E25" i="2"/>
  <c r="Q12" i="2"/>
  <c r="Q11" i="2"/>
  <c r="K12" i="2"/>
  <c r="K13" i="2"/>
  <c r="K14" i="2"/>
  <c r="K11" i="2"/>
  <c r="E16" i="2"/>
  <c r="Q3" i="2"/>
  <c r="Q4" i="2"/>
  <c r="Q5" i="2"/>
  <c r="Q6" i="2"/>
  <c r="Q7" i="2"/>
  <c r="Q8" i="2"/>
  <c r="Q9" i="2"/>
  <c r="Q2" i="2"/>
  <c r="Q28" i="2" s="1"/>
  <c r="Q29" i="2" s="1"/>
  <c r="Q30" i="2" s="1"/>
  <c r="K3" i="2"/>
  <c r="K4" i="2"/>
  <c r="K5" i="2"/>
  <c r="K6" i="2"/>
  <c r="K7" i="2"/>
  <c r="K8" i="2"/>
  <c r="K2" i="2"/>
  <c r="K28" i="2" s="1"/>
  <c r="K29" i="2" s="1"/>
  <c r="K30" i="2" s="1"/>
  <c r="E3" i="2"/>
  <c r="E4" i="2"/>
  <c r="E5" i="2"/>
  <c r="E6" i="2"/>
  <c r="E7" i="2"/>
  <c r="E2" i="2"/>
  <c r="E28" i="2" s="1"/>
  <c r="I8" i="1"/>
  <c r="I5" i="1"/>
  <c r="D13" i="1"/>
  <c r="D12" i="1"/>
  <c r="D11" i="1"/>
  <c r="D3" i="1"/>
  <c r="D4" i="1"/>
  <c r="D5" i="1"/>
  <c r="D6" i="1"/>
  <c r="D7" i="1"/>
  <c r="D8" i="1"/>
  <c r="D9" i="1"/>
  <c r="D2" i="1"/>
  <c r="E29" i="2" l="1"/>
  <c r="E30" i="2" s="1"/>
  <c r="B33" i="2" s="1"/>
</calcChain>
</file>

<file path=xl/sharedStrings.xml><?xml version="1.0" encoding="utf-8"?>
<sst xmlns="http://schemas.openxmlformats.org/spreadsheetml/2006/main" count="113" uniqueCount="52">
  <si>
    <t>Item</t>
  </si>
  <si>
    <t>Qty</t>
  </si>
  <si>
    <t>Unit cost</t>
  </si>
  <si>
    <t>Qty cost</t>
  </si>
  <si>
    <t>Fair Trade Coffee - 100 Cup Urn</t>
  </si>
  <si>
    <t>Tea Service</t>
  </si>
  <si>
    <t>Order total for 1 coffee break invoice =</t>
  </si>
  <si>
    <t>Lemon Infused Water (Serves 40)</t>
  </si>
  <si>
    <t>Number coffee breaks on schedule =</t>
  </si>
  <si>
    <t>Cucumber Infused Water (Serves 40)</t>
  </si>
  <si>
    <t>Total order costs =</t>
  </si>
  <si>
    <t>Vegetable Platter - Serves 12</t>
  </si>
  <si>
    <t>Cheese Tray - Serves 12</t>
  </si>
  <si>
    <t>Estimated guest count =</t>
  </si>
  <si>
    <t>Fresh Fruit Platter - Serves 12</t>
  </si>
  <si>
    <t>Total costs per person =</t>
  </si>
  <si>
    <t>Cookie and Brownie Tray - Serves 12</t>
  </si>
  <si>
    <t>Subtotal</t>
  </si>
  <si>
    <t>HST (13%)</t>
  </si>
  <si>
    <t>no. full orders</t>
  </si>
  <si>
    <t>Order total</t>
  </si>
  <si>
    <t>Section</t>
  </si>
  <si>
    <t>Thurs (1 break + 1 refresh)</t>
  </si>
  <si>
    <t>Unit price</t>
  </si>
  <si>
    <t>Total costs</t>
  </si>
  <si>
    <t>Friday (2 break + 1 refresh)</t>
  </si>
  <si>
    <t>Saturday (1 break + 1 refresh)</t>
  </si>
  <si>
    <t>Breakfast</t>
  </si>
  <si>
    <t>Cucumber-Mint Infused Water (Serves 40)</t>
  </si>
  <si>
    <t>Fresh Croissant tray</t>
  </si>
  <si>
    <t>Fresh Croissant tray - 12</t>
  </si>
  <si>
    <t>Muffin tray - 12</t>
  </si>
  <si>
    <t>Danish tray - 12</t>
  </si>
  <si>
    <t>Refresher break</t>
  </si>
  <si>
    <t>NA</t>
  </si>
  <si>
    <t>Cheese tray - 12</t>
  </si>
  <si>
    <t>Coffee Urn - 100 cups</t>
  </si>
  <si>
    <t>*move Breakfast leftovers to Thistle</t>
  </si>
  <si>
    <t>Cookie tray - 12</t>
  </si>
  <si>
    <t>Fruit tray - 12</t>
  </si>
  <si>
    <t>Lunch</t>
  </si>
  <si>
    <t>TBD</t>
  </si>
  <si>
    <t xml:space="preserve">Full Coffee Break </t>
  </si>
  <si>
    <t>Full Coffee Break</t>
  </si>
  <si>
    <t>plaza</t>
  </si>
  <si>
    <t>Danish tray - serves 12</t>
  </si>
  <si>
    <t>SUBTOTAL</t>
  </si>
  <si>
    <t>HST</t>
  </si>
  <si>
    <t>TOTAL</t>
  </si>
  <si>
    <t>GRAND TOTAL</t>
  </si>
  <si>
    <t>guest count</t>
  </si>
  <si>
    <t>cost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</si>
</sst>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([$$-409]* #,##0.00_);_([$$-409]* \(#,##0.00\);_([$$-409]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2" borderId="4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5" xfId="1" applyFont="1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2" fillId="2" borderId="7" xfId="0" applyFont="1" applyFill="1" applyBorder="1" applyAlignment="1">
      <alignment horizontal="right"/>
    </xf>
    <xf numFmtId="164" fontId="0" fillId="2" borderId="3" xfId="0" applyNumberForma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165" fontId="2" fillId="2" borderId="8" xfId="0" applyNumberFormat="1" applyFont="1" applyFill="1" applyBorder="1" applyAlignment="1">
      <alignment horizontal="left"/>
    </xf>
    <xf numFmtId="16" fontId="0" fillId="0" borderId="0" xfId="0" applyNumberFormat="1"/>
    <xf numFmtId="0" fontId="0" fillId="3" borderId="0" xfId="0" applyFill="1"/>
    <xf numFmtId="0" fontId="2" fillId="0" borderId="7" xfId="0" applyFont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/>
    </xf>
    <xf numFmtId="166" fontId="0" fillId="0" borderId="0" xfId="0" applyNumberFormat="1"/>
    <xf numFmtId="166" fontId="0" fillId="4" borderId="0" xfId="0" applyNumberFormat="1" applyFill="1"/>
    <xf numFmtId="166" fontId="2" fillId="0" borderId="7" xfId="0" applyNumberFormat="1" applyFont="1" applyBorder="1"/>
    <xf numFmtId="0" fontId="2" fillId="0" borderId="9" xfId="0" applyFont="1" applyBorder="1"/>
    <xf numFmtId="0" fontId="0" fillId="0" borderId="9" xfId="0" applyBorder="1"/>
    <xf numFmtId="166" fontId="0" fillId="0" borderId="9" xfId="0" applyNumberFormat="1" applyBorder="1"/>
    <xf numFmtId="0" fontId="2" fillId="2" borderId="10" xfId="0" applyFont="1" applyFill="1" applyBorder="1"/>
    <xf numFmtId="166" fontId="0" fillId="2" borderId="11" xfId="0" applyNumberFormat="1" applyFill="1" applyBorder="1"/>
    <xf numFmtId="0" fontId="0" fillId="0" borderId="0" xfId="0" applyFont="1"/>
    <xf numFmtId="166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3B0D-A119-4498-95EA-5059AFFDDC90}">
  <dimension ref="A1:I13"/>
  <sheetViews>
    <sheetView zoomScale="120" zoomScaleNormal="120" workbookViewId="0">
      <selection activeCell="D8" sqref="D8"/>
    </sheetView>
  </sheetViews>
  <sheetFormatPr defaultRowHeight="14.45"/>
  <cols>
    <col min="1" max="1" width="33.140625" bestFit="1" customWidth="1"/>
    <col min="7" max="7" width="12.85546875" customWidth="1"/>
    <col min="8" max="8" width="13.42578125" customWidth="1"/>
    <col min="9" max="9" width="10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t="s">
        <v>4</v>
      </c>
      <c r="B2">
        <v>3</v>
      </c>
      <c r="C2">
        <v>149.35</v>
      </c>
      <c r="D2">
        <f>C2*B2</f>
        <v>448.04999999999995</v>
      </c>
    </row>
    <row r="3" spans="1:9">
      <c r="A3" t="s">
        <v>5</v>
      </c>
      <c r="B3">
        <v>2</v>
      </c>
      <c r="C3">
        <v>15.45</v>
      </c>
      <c r="D3">
        <f t="shared" ref="D3:D9" si="0">C3*B3</f>
        <v>30.9</v>
      </c>
      <c r="F3" s="5"/>
      <c r="G3" s="6"/>
      <c r="H3" s="7" t="s">
        <v>6</v>
      </c>
      <c r="I3" s="16">
        <v>1632</v>
      </c>
    </row>
    <row r="4" spans="1:9">
      <c r="A4" t="s">
        <v>7</v>
      </c>
      <c r="B4">
        <v>2</v>
      </c>
      <c r="C4">
        <v>37.5</v>
      </c>
      <c r="D4">
        <f t="shared" si="0"/>
        <v>75</v>
      </c>
      <c r="F4" s="8"/>
      <c r="G4" s="9"/>
      <c r="H4" s="10" t="s">
        <v>8</v>
      </c>
      <c r="I4" s="17">
        <v>5</v>
      </c>
    </row>
    <row r="5" spans="1:9">
      <c r="A5" t="s">
        <v>9</v>
      </c>
      <c r="B5">
        <v>2</v>
      </c>
      <c r="C5">
        <v>37.5</v>
      </c>
      <c r="D5">
        <f t="shared" si="0"/>
        <v>75</v>
      </c>
      <c r="F5" s="8"/>
      <c r="G5" s="9"/>
      <c r="H5" s="11" t="s">
        <v>10</v>
      </c>
      <c r="I5" s="12">
        <f>I3*I4</f>
        <v>8160</v>
      </c>
    </row>
    <row r="6" spans="1:9">
      <c r="A6" s="20" t="s">
        <v>11</v>
      </c>
      <c r="B6">
        <v>48</v>
      </c>
      <c r="C6">
        <v>4.8899999999999997</v>
      </c>
      <c r="D6">
        <f t="shared" si="0"/>
        <v>234.71999999999997</v>
      </c>
      <c r="F6" s="8"/>
      <c r="G6" s="9"/>
      <c r="H6" s="9"/>
      <c r="I6" s="17"/>
    </row>
    <row r="7" spans="1:9">
      <c r="A7" s="20" t="s">
        <v>12</v>
      </c>
      <c r="B7">
        <v>48</v>
      </c>
      <c r="C7">
        <v>5.41</v>
      </c>
      <c r="D7">
        <f t="shared" si="0"/>
        <v>259.68</v>
      </c>
      <c r="F7" s="8"/>
      <c r="G7" s="9"/>
      <c r="H7" s="10" t="s">
        <v>13</v>
      </c>
      <c r="I7" s="17">
        <v>200</v>
      </c>
    </row>
    <row r="8" spans="1:9">
      <c r="A8" t="s">
        <v>14</v>
      </c>
      <c r="B8">
        <v>48</v>
      </c>
      <c r="C8">
        <v>4.1100000000000003</v>
      </c>
      <c r="D8">
        <f t="shared" si="0"/>
        <v>197.28000000000003</v>
      </c>
      <c r="F8" s="13"/>
      <c r="G8" s="14"/>
      <c r="H8" s="15" t="s">
        <v>15</v>
      </c>
      <c r="I8" s="18">
        <f>I5/I7</f>
        <v>40.799999999999997</v>
      </c>
    </row>
    <row r="9" spans="1:9">
      <c r="A9" t="s">
        <v>16</v>
      </c>
      <c r="B9">
        <v>48</v>
      </c>
      <c r="C9">
        <v>2.56</v>
      </c>
      <c r="D9">
        <f t="shared" si="0"/>
        <v>122.88</v>
      </c>
      <c r="H9" s="4"/>
    </row>
    <row r="11" spans="1:9">
      <c r="A11" t="s">
        <v>17</v>
      </c>
      <c r="D11">
        <f>SUM(D2:D9)</f>
        <v>1443.5099999999998</v>
      </c>
      <c r="G11" s="19">
        <v>46142</v>
      </c>
      <c r="H11" s="19">
        <v>46143</v>
      </c>
      <c r="I11" s="19">
        <v>46144</v>
      </c>
    </row>
    <row r="12" spans="1:9">
      <c r="A12" t="s">
        <v>18</v>
      </c>
      <c r="D12" s="2">
        <f>D11*0.13</f>
        <v>187.65629999999999</v>
      </c>
      <c r="F12" t="s">
        <v>19</v>
      </c>
      <c r="G12">
        <v>2</v>
      </c>
      <c r="H12">
        <v>1</v>
      </c>
      <c r="I12">
        <v>1</v>
      </c>
    </row>
    <row r="13" spans="1:9">
      <c r="A13" s="1" t="s">
        <v>20</v>
      </c>
      <c r="B13" s="1"/>
      <c r="C13" s="1"/>
      <c r="D13" s="3">
        <f>D11+D12</f>
        <v>1631.1662999999999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F8FA-2BB5-4CD4-8E65-65D2DAC343B9}">
  <dimension ref="A1:Q35"/>
  <sheetViews>
    <sheetView tabSelected="1" topLeftCell="A17" zoomScaleNormal="100" workbookViewId="0">
      <selection activeCell="B36" sqref="B36"/>
    </sheetView>
  </sheetViews>
  <sheetFormatPr defaultRowHeight="15" customHeight="1"/>
  <cols>
    <col min="1" max="1" width="13.85546875" style="1" customWidth="1"/>
    <col min="2" max="2" width="35.28515625" bestFit="1" customWidth="1"/>
    <col min="3" max="3" width="3.85546875" bestFit="1" customWidth="1"/>
    <col min="4" max="4" width="9.7109375" style="29" bestFit="1" customWidth="1"/>
    <col min="5" max="5" width="13.42578125" style="29" customWidth="1"/>
    <col min="6" max="6" width="3.28515625" customWidth="1"/>
    <col min="7" max="7" width="12.7109375" style="1" customWidth="1"/>
    <col min="8" max="8" width="35.5703125" bestFit="1" customWidth="1"/>
    <col min="9" max="9" width="3.85546875" bestFit="1" customWidth="1"/>
    <col min="10" max="10" width="9.7109375" style="29" bestFit="1" customWidth="1"/>
    <col min="11" max="11" width="13.28515625" style="29" customWidth="1"/>
    <col min="12" max="12" width="2.85546875" customWidth="1"/>
    <col min="13" max="13" width="11.42578125" style="1" customWidth="1"/>
    <col min="14" max="14" width="35.5703125" bestFit="1" customWidth="1"/>
    <col min="15" max="15" width="3.85546875" bestFit="1" customWidth="1"/>
    <col min="16" max="16" width="9.7109375" style="29" bestFit="1" customWidth="1"/>
    <col min="17" max="17" width="12.42578125" style="29" customWidth="1"/>
  </cols>
  <sheetData>
    <row r="1" spans="1:17" s="21" customFormat="1">
      <c r="A1" s="21" t="s">
        <v>21</v>
      </c>
      <c r="B1" s="21" t="s">
        <v>22</v>
      </c>
      <c r="C1" s="21" t="s">
        <v>1</v>
      </c>
      <c r="D1" s="31" t="s">
        <v>23</v>
      </c>
      <c r="E1" s="31" t="s">
        <v>24</v>
      </c>
      <c r="G1" s="21" t="s">
        <v>21</v>
      </c>
      <c r="H1" s="21" t="s">
        <v>25</v>
      </c>
      <c r="I1" s="21" t="s">
        <v>1</v>
      </c>
      <c r="J1" s="31" t="s">
        <v>23</v>
      </c>
      <c r="K1" s="31" t="s">
        <v>24</v>
      </c>
      <c r="M1" s="21" t="s">
        <v>21</v>
      </c>
      <c r="N1" s="21" t="s">
        <v>26</v>
      </c>
      <c r="O1" s="21" t="s">
        <v>1</v>
      </c>
      <c r="P1" s="31" t="s">
        <v>23</v>
      </c>
      <c r="Q1" s="31" t="s">
        <v>24</v>
      </c>
    </row>
    <row r="2" spans="1:17">
      <c r="A2" s="1" t="s">
        <v>27</v>
      </c>
      <c r="B2" t="s">
        <v>4</v>
      </c>
      <c r="C2">
        <v>2</v>
      </c>
      <c r="D2" s="29">
        <v>149.35</v>
      </c>
      <c r="E2" s="29">
        <f>C2*D2</f>
        <v>298.7</v>
      </c>
      <c r="G2" s="1" t="s">
        <v>27</v>
      </c>
      <c r="H2" t="s">
        <v>4</v>
      </c>
      <c r="I2">
        <v>3</v>
      </c>
      <c r="J2" s="29">
        <v>149.35</v>
      </c>
      <c r="K2" s="29">
        <f>I2*J2</f>
        <v>448.04999999999995</v>
      </c>
      <c r="M2" s="1" t="s">
        <v>27</v>
      </c>
      <c r="N2" t="s">
        <v>4</v>
      </c>
      <c r="O2">
        <v>3</v>
      </c>
      <c r="P2" s="29">
        <v>149.35</v>
      </c>
      <c r="Q2" s="29">
        <f>O2*P2</f>
        <v>448.04999999999995</v>
      </c>
    </row>
    <row r="3" spans="1:17">
      <c r="B3" t="s">
        <v>5</v>
      </c>
      <c r="C3">
        <v>1</v>
      </c>
      <c r="D3" s="29">
        <v>15.45</v>
      </c>
      <c r="E3" s="29">
        <f t="shared" ref="E3:E7" si="0">C3*D3</f>
        <v>15.45</v>
      </c>
      <c r="H3" t="s">
        <v>5</v>
      </c>
      <c r="I3">
        <v>2</v>
      </c>
      <c r="J3" s="29">
        <v>15.45</v>
      </c>
      <c r="K3" s="29">
        <f t="shared" ref="K3:K8" si="1">I3*J3</f>
        <v>30.9</v>
      </c>
      <c r="N3" t="s">
        <v>5</v>
      </c>
      <c r="O3">
        <v>2</v>
      </c>
      <c r="P3" s="29">
        <v>15.45</v>
      </c>
      <c r="Q3" s="29">
        <f t="shared" ref="Q3:Q9" si="2">O3*P3</f>
        <v>30.9</v>
      </c>
    </row>
    <row r="4" spans="1:17">
      <c r="B4" t="s">
        <v>7</v>
      </c>
      <c r="C4">
        <v>1</v>
      </c>
      <c r="D4" s="29">
        <v>37.5</v>
      </c>
      <c r="E4" s="29">
        <f t="shared" si="0"/>
        <v>37.5</v>
      </c>
      <c r="H4" t="s">
        <v>7</v>
      </c>
      <c r="I4">
        <v>1</v>
      </c>
      <c r="J4" s="29">
        <v>37.5</v>
      </c>
      <c r="K4" s="29">
        <f t="shared" si="1"/>
        <v>37.5</v>
      </c>
      <c r="N4" t="s">
        <v>7</v>
      </c>
      <c r="O4">
        <v>1</v>
      </c>
      <c r="P4" s="29">
        <v>37.5</v>
      </c>
      <c r="Q4" s="29">
        <f t="shared" si="2"/>
        <v>37.5</v>
      </c>
    </row>
    <row r="5" spans="1:17">
      <c r="B5" t="s">
        <v>28</v>
      </c>
      <c r="C5">
        <v>1</v>
      </c>
      <c r="D5" s="29">
        <v>37.5</v>
      </c>
      <c r="E5" s="29">
        <f t="shared" si="0"/>
        <v>37.5</v>
      </c>
      <c r="H5" t="s">
        <v>28</v>
      </c>
      <c r="I5">
        <v>1</v>
      </c>
      <c r="J5" s="29">
        <v>37.5</v>
      </c>
      <c r="K5" s="29">
        <f t="shared" si="1"/>
        <v>37.5</v>
      </c>
      <c r="N5" t="s">
        <v>28</v>
      </c>
      <c r="O5">
        <v>1</v>
      </c>
      <c r="P5" s="29">
        <v>37.5</v>
      </c>
      <c r="Q5" s="29">
        <f t="shared" si="2"/>
        <v>37.5</v>
      </c>
    </row>
    <row r="6" spans="1:17">
      <c r="B6" t="s">
        <v>14</v>
      </c>
      <c r="C6">
        <v>2</v>
      </c>
      <c r="D6" s="29">
        <v>36</v>
      </c>
      <c r="E6" s="29">
        <f t="shared" si="0"/>
        <v>72</v>
      </c>
      <c r="H6" t="s">
        <v>14</v>
      </c>
      <c r="I6">
        <v>4</v>
      </c>
      <c r="J6" s="29">
        <v>36</v>
      </c>
      <c r="K6" s="29">
        <f t="shared" si="1"/>
        <v>144</v>
      </c>
      <c r="N6" t="s">
        <v>14</v>
      </c>
      <c r="O6">
        <v>4</v>
      </c>
      <c r="P6" s="29">
        <v>36</v>
      </c>
      <c r="Q6" s="29">
        <f t="shared" si="2"/>
        <v>144</v>
      </c>
    </row>
    <row r="7" spans="1:17">
      <c r="B7" t="s">
        <v>29</v>
      </c>
      <c r="C7">
        <v>2</v>
      </c>
      <c r="D7" s="29">
        <v>36</v>
      </c>
      <c r="E7" s="29">
        <f t="shared" si="0"/>
        <v>72</v>
      </c>
      <c r="H7" t="s">
        <v>30</v>
      </c>
      <c r="I7">
        <v>2</v>
      </c>
      <c r="J7" s="29">
        <v>36</v>
      </c>
      <c r="K7" s="29">
        <f t="shared" si="1"/>
        <v>72</v>
      </c>
      <c r="N7" t="s">
        <v>30</v>
      </c>
      <c r="O7">
        <v>2</v>
      </c>
      <c r="P7" s="29">
        <v>36</v>
      </c>
      <c r="Q7" s="29">
        <f t="shared" si="2"/>
        <v>72</v>
      </c>
    </row>
    <row r="8" spans="1:17">
      <c r="H8" t="s">
        <v>31</v>
      </c>
      <c r="I8">
        <v>2</v>
      </c>
      <c r="J8" s="29">
        <v>36</v>
      </c>
      <c r="K8" s="29">
        <f t="shared" si="1"/>
        <v>72</v>
      </c>
      <c r="N8" t="s">
        <v>31</v>
      </c>
      <c r="O8">
        <v>1</v>
      </c>
      <c r="P8" s="29">
        <v>36</v>
      </c>
      <c r="Q8" s="29">
        <f t="shared" si="2"/>
        <v>36</v>
      </c>
    </row>
    <row r="9" spans="1:17">
      <c r="N9" t="s">
        <v>32</v>
      </c>
      <c r="O9">
        <v>1</v>
      </c>
      <c r="P9" s="29">
        <v>36</v>
      </c>
      <c r="Q9" s="29">
        <f t="shared" si="2"/>
        <v>36</v>
      </c>
    </row>
    <row r="11" spans="1:17" ht="29.25">
      <c r="A11" s="23" t="s">
        <v>33</v>
      </c>
      <c r="B11" s="28" t="s">
        <v>34</v>
      </c>
      <c r="G11" s="23" t="s">
        <v>33</v>
      </c>
      <c r="H11" t="s">
        <v>35</v>
      </c>
      <c r="I11">
        <v>2</v>
      </c>
      <c r="J11" s="29">
        <v>98</v>
      </c>
      <c r="K11" s="29">
        <f>I11*J11</f>
        <v>196</v>
      </c>
      <c r="M11" s="23" t="s">
        <v>33</v>
      </c>
      <c r="N11" t="s">
        <v>36</v>
      </c>
      <c r="O11">
        <v>1</v>
      </c>
      <c r="P11" s="29">
        <v>149.35</v>
      </c>
      <c r="Q11" s="29">
        <f>O11*P11</f>
        <v>149.35</v>
      </c>
    </row>
    <row r="12" spans="1:17" ht="57.75">
      <c r="G12" s="22" t="s">
        <v>37</v>
      </c>
      <c r="H12" t="s">
        <v>38</v>
      </c>
      <c r="I12">
        <v>2</v>
      </c>
      <c r="J12" s="29">
        <v>18.95</v>
      </c>
      <c r="K12" s="29">
        <f t="shared" ref="K12:K14" si="3">I12*J12</f>
        <v>37.9</v>
      </c>
      <c r="M12" s="22" t="s">
        <v>37</v>
      </c>
      <c r="N12" t="s">
        <v>39</v>
      </c>
      <c r="O12">
        <v>1</v>
      </c>
      <c r="P12" s="29">
        <v>36</v>
      </c>
      <c r="Q12" s="29">
        <f>O12*P12</f>
        <v>36</v>
      </c>
    </row>
    <row r="13" spans="1:17">
      <c r="H13" t="s">
        <v>36</v>
      </c>
      <c r="I13">
        <v>2</v>
      </c>
      <c r="J13" s="29">
        <v>149.35</v>
      </c>
      <c r="K13" s="29">
        <f t="shared" si="3"/>
        <v>298.7</v>
      </c>
    </row>
    <row r="14" spans="1:17">
      <c r="H14" t="s">
        <v>39</v>
      </c>
      <c r="I14">
        <v>2</v>
      </c>
      <c r="J14" s="29">
        <v>36</v>
      </c>
      <c r="K14" s="29">
        <f t="shared" si="3"/>
        <v>72</v>
      </c>
    </row>
    <row r="16" spans="1:17" s="25" customFormat="1">
      <c r="A16" s="24" t="s">
        <v>40</v>
      </c>
      <c r="B16" s="25" t="s">
        <v>41</v>
      </c>
      <c r="D16" s="30"/>
      <c r="E16" s="29">
        <f>C16*D16</f>
        <v>0</v>
      </c>
      <c r="G16" s="24" t="s">
        <v>40</v>
      </c>
      <c r="H16" s="25" t="s">
        <v>41</v>
      </c>
      <c r="J16" s="30"/>
      <c r="K16" s="30"/>
      <c r="M16" s="24" t="s">
        <v>40</v>
      </c>
      <c r="N16" s="25" t="s">
        <v>41</v>
      </c>
      <c r="P16" s="30"/>
      <c r="Q16" s="30"/>
    </row>
    <row r="18" spans="1:17" ht="29.25">
      <c r="A18" s="23" t="s">
        <v>42</v>
      </c>
      <c r="B18" t="s">
        <v>4</v>
      </c>
      <c r="C18">
        <v>3</v>
      </c>
      <c r="D18" s="29">
        <v>149.35</v>
      </c>
      <c r="E18" s="29">
        <f>C18*D18</f>
        <v>448.04999999999995</v>
      </c>
      <c r="G18" s="23" t="s">
        <v>42</v>
      </c>
      <c r="H18" t="s">
        <v>4</v>
      </c>
      <c r="I18">
        <v>3</v>
      </c>
      <c r="J18" s="29">
        <v>149.35</v>
      </c>
      <c r="K18" s="29">
        <f>I18*J18</f>
        <v>448.04999999999995</v>
      </c>
      <c r="M18" s="23" t="s">
        <v>43</v>
      </c>
      <c r="N18" t="s">
        <v>4</v>
      </c>
      <c r="O18">
        <v>3</v>
      </c>
      <c r="P18" s="29">
        <v>149.35</v>
      </c>
      <c r="Q18" s="29">
        <f>O18*P18</f>
        <v>448.04999999999995</v>
      </c>
    </row>
    <row r="19" spans="1:17">
      <c r="A19"/>
      <c r="B19" t="s">
        <v>5</v>
      </c>
      <c r="C19">
        <v>2</v>
      </c>
      <c r="D19" s="29">
        <v>15.45</v>
      </c>
      <c r="E19" s="29">
        <f t="shared" ref="E19:E25" si="4">C19*D19</f>
        <v>30.9</v>
      </c>
      <c r="G19" s="26" t="s">
        <v>44</v>
      </c>
      <c r="H19" t="s">
        <v>5</v>
      </c>
      <c r="I19">
        <v>2</v>
      </c>
      <c r="J19" s="29">
        <v>15.45</v>
      </c>
      <c r="K19" s="29">
        <f t="shared" ref="K19:K25" si="5">I19*J19</f>
        <v>30.9</v>
      </c>
      <c r="N19" t="s">
        <v>5</v>
      </c>
      <c r="O19">
        <v>2</v>
      </c>
      <c r="P19" s="29">
        <v>15.45</v>
      </c>
      <c r="Q19" s="29">
        <f t="shared" ref="Q19:Q26" si="6">O19*P19</f>
        <v>30.9</v>
      </c>
    </row>
    <row r="20" spans="1:17">
      <c r="B20" t="s">
        <v>7</v>
      </c>
      <c r="C20">
        <v>2</v>
      </c>
      <c r="D20" s="29">
        <v>37.5</v>
      </c>
      <c r="E20" s="29">
        <f t="shared" si="4"/>
        <v>75</v>
      </c>
      <c r="G20" s="27">
        <v>0.625</v>
      </c>
      <c r="H20" t="s">
        <v>7</v>
      </c>
      <c r="I20">
        <v>2</v>
      </c>
      <c r="J20" s="29">
        <v>37.5</v>
      </c>
      <c r="K20" s="29">
        <f t="shared" si="5"/>
        <v>75</v>
      </c>
      <c r="N20" t="s">
        <v>7</v>
      </c>
      <c r="O20">
        <v>2</v>
      </c>
      <c r="P20" s="29">
        <v>37.5</v>
      </c>
      <c r="Q20" s="29">
        <f t="shared" si="6"/>
        <v>75</v>
      </c>
    </row>
    <row r="21" spans="1:17">
      <c r="B21" t="s">
        <v>9</v>
      </c>
      <c r="C21">
        <v>2</v>
      </c>
      <c r="D21" s="29">
        <v>37.5</v>
      </c>
      <c r="E21" s="29">
        <f t="shared" si="4"/>
        <v>75</v>
      </c>
      <c r="H21" t="s">
        <v>9</v>
      </c>
      <c r="I21">
        <v>2</v>
      </c>
      <c r="J21" s="29">
        <v>37.5</v>
      </c>
      <c r="K21" s="29">
        <f t="shared" si="5"/>
        <v>75</v>
      </c>
      <c r="N21" t="s">
        <v>9</v>
      </c>
      <c r="O21">
        <v>2</v>
      </c>
      <c r="P21" s="29">
        <v>37.5</v>
      </c>
      <c r="Q21" s="29">
        <f t="shared" si="6"/>
        <v>75</v>
      </c>
    </row>
    <row r="22" spans="1:17">
      <c r="B22" t="s">
        <v>11</v>
      </c>
      <c r="C22">
        <v>4</v>
      </c>
      <c r="D22" s="29">
        <v>54</v>
      </c>
      <c r="E22" s="29">
        <f t="shared" si="4"/>
        <v>216</v>
      </c>
      <c r="H22" t="s">
        <v>11</v>
      </c>
      <c r="I22">
        <v>4</v>
      </c>
      <c r="J22" s="29">
        <v>54</v>
      </c>
      <c r="K22" s="29">
        <f t="shared" si="5"/>
        <v>216</v>
      </c>
      <c r="N22" t="s">
        <v>11</v>
      </c>
      <c r="O22">
        <v>4</v>
      </c>
      <c r="P22" s="29">
        <v>54</v>
      </c>
      <c r="Q22" s="29">
        <f t="shared" si="6"/>
        <v>216</v>
      </c>
    </row>
    <row r="23" spans="1:17">
      <c r="B23" t="s">
        <v>12</v>
      </c>
      <c r="C23">
        <v>4</v>
      </c>
      <c r="D23" s="29">
        <v>98</v>
      </c>
      <c r="E23" s="29">
        <f t="shared" si="4"/>
        <v>392</v>
      </c>
      <c r="H23" t="s">
        <v>12</v>
      </c>
      <c r="I23">
        <v>4</v>
      </c>
      <c r="J23" s="29">
        <v>98</v>
      </c>
      <c r="K23" s="29">
        <f t="shared" si="5"/>
        <v>392</v>
      </c>
      <c r="N23" t="s">
        <v>12</v>
      </c>
      <c r="O23">
        <v>4</v>
      </c>
      <c r="P23" s="29">
        <v>98</v>
      </c>
      <c r="Q23" s="29">
        <f t="shared" si="6"/>
        <v>392</v>
      </c>
    </row>
    <row r="24" spans="1:17">
      <c r="B24" t="s">
        <v>14</v>
      </c>
      <c r="C24">
        <v>4</v>
      </c>
      <c r="D24" s="29">
        <v>36</v>
      </c>
      <c r="E24" s="29">
        <f t="shared" si="4"/>
        <v>144</v>
      </c>
      <c r="H24" t="s">
        <v>14</v>
      </c>
      <c r="I24">
        <v>4</v>
      </c>
      <c r="J24" s="29">
        <v>36</v>
      </c>
      <c r="K24" s="29">
        <f t="shared" si="5"/>
        <v>144</v>
      </c>
      <c r="N24" t="s">
        <v>14</v>
      </c>
      <c r="O24">
        <v>4</v>
      </c>
      <c r="P24" s="29">
        <v>36</v>
      </c>
      <c r="Q24" s="29">
        <f t="shared" si="6"/>
        <v>144</v>
      </c>
    </row>
    <row r="25" spans="1:17">
      <c r="B25" t="s">
        <v>16</v>
      </c>
      <c r="C25">
        <v>4</v>
      </c>
      <c r="D25" s="29">
        <v>60</v>
      </c>
      <c r="E25" s="29">
        <f t="shared" si="4"/>
        <v>240</v>
      </c>
      <c r="H25" t="s">
        <v>16</v>
      </c>
      <c r="I25">
        <v>4</v>
      </c>
      <c r="J25" s="29">
        <v>60</v>
      </c>
      <c r="K25" s="29">
        <f t="shared" si="5"/>
        <v>240</v>
      </c>
      <c r="N25" t="s">
        <v>16</v>
      </c>
      <c r="O25">
        <v>2</v>
      </c>
      <c r="P25" s="29">
        <v>60</v>
      </c>
      <c r="Q25" s="29">
        <f t="shared" si="6"/>
        <v>120</v>
      </c>
    </row>
    <row r="26" spans="1:17">
      <c r="N26" t="s">
        <v>45</v>
      </c>
      <c r="O26">
        <v>2</v>
      </c>
      <c r="P26" s="29">
        <v>36</v>
      </c>
      <c r="Q26" s="29">
        <f t="shared" si="6"/>
        <v>72</v>
      </c>
    </row>
    <row r="27" spans="1:17" ht="15" customHeight="1">
      <c r="A27" s="32"/>
      <c r="B27" s="33"/>
      <c r="C27" s="33"/>
      <c r="D27" s="34"/>
      <c r="E27" s="34"/>
      <c r="F27" s="33"/>
      <c r="G27" s="32"/>
      <c r="H27" s="33"/>
      <c r="I27" s="33"/>
      <c r="J27" s="34"/>
      <c r="K27" s="34"/>
      <c r="L27" s="33"/>
      <c r="M27" s="32"/>
      <c r="N27" s="33"/>
      <c r="O27" s="33"/>
      <c r="P27" s="34"/>
      <c r="Q27" s="34"/>
    </row>
    <row r="28" spans="1:17" ht="15" customHeight="1">
      <c r="A28" s="1" t="s">
        <v>46</v>
      </c>
      <c r="E28" s="29">
        <f>SUM(E2:E25)</f>
        <v>2154.1</v>
      </c>
      <c r="K28" s="29">
        <f>SUM(K2:K25)</f>
        <v>3067.5</v>
      </c>
      <c r="Q28" s="29">
        <f>SUM(Q2:Q26)</f>
        <v>2600.25</v>
      </c>
    </row>
    <row r="29" spans="1:17" ht="15" customHeight="1">
      <c r="A29" s="1" t="s">
        <v>47</v>
      </c>
      <c r="E29" s="29">
        <f>E28*0.13</f>
        <v>280.03300000000002</v>
      </c>
      <c r="K29" s="29">
        <f>K28*0.13</f>
        <v>398.77500000000003</v>
      </c>
      <c r="Q29" s="29">
        <f>Q28*0.13</f>
        <v>338.03250000000003</v>
      </c>
    </row>
    <row r="30" spans="1:17" ht="15" customHeight="1">
      <c r="A30" s="1" t="s">
        <v>48</v>
      </c>
      <c r="E30" s="29">
        <f>E28+E29</f>
        <v>2434.1329999999998</v>
      </c>
      <c r="K30" s="29">
        <f>K28+K29</f>
        <v>3466.2750000000001</v>
      </c>
      <c r="Q30" s="29">
        <f>Q28+Q29</f>
        <v>2938.2825000000003</v>
      </c>
    </row>
    <row r="33" spans="1:2" ht="15" customHeight="1">
      <c r="A33" s="35" t="s">
        <v>49</v>
      </c>
      <c r="B33" s="36">
        <f>E30+K30+Q30</f>
        <v>8838.6905000000006</v>
      </c>
    </row>
    <row r="34" spans="1:2" ht="15" customHeight="1">
      <c r="A34" s="37" t="s">
        <v>50</v>
      </c>
      <c r="B34">
        <v>200</v>
      </c>
    </row>
    <row r="35" spans="1:2" ht="15" customHeight="1">
      <c r="A35" s="1" t="s">
        <v>51</v>
      </c>
      <c r="B35" s="38">
        <f>B33/B34</f>
        <v>44.193452500000006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1606B9-BF14-403B-AA4A-2FFBFDC65C61}"/>
</file>

<file path=customXml/itemProps2.xml><?xml version="1.0" encoding="utf-8"?>
<ds:datastoreItem xmlns:ds="http://schemas.openxmlformats.org/officeDocument/2006/customXml" ds:itemID="{D206B801-9675-420E-B99E-D6148C388E78}"/>
</file>

<file path=customXml/itemProps3.xml><?xml version="1.0" encoding="utf-8"?>
<ds:datastoreItem xmlns:ds="http://schemas.openxmlformats.org/officeDocument/2006/customXml" ds:itemID="{6428C259-96EB-4694-AFCD-B44BEEEB8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Lyllian Corbin</dc:creator>
  <cp:keywords/>
  <dc:description/>
  <cp:lastModifiedBy>Lyllian Corbin</cp:lastModifiedBy>
  <cp:revision/>
  <dcterms:created xsi:type="dcterms:W3CDTF">2026-03-05T06:05:49Z</dcterms:created>
  <dcterms:modified xsi:type="dcterms:W3CDTF">2026-03-12T04:43:18Z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