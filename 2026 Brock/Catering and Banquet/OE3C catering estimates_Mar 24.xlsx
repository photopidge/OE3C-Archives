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brocku.sharepoint.com/sites/OE3Conference2026/Shared Documents/Files and Documents/Catering and Banquet/Breaks and lunches/"/>
    </mc:Choice>
  </mc:AlternateContent>
  <xr:revisionPtr revIDLastSave="475" documentId="13_ncr:1_{93BF3ECA-E160-B942-846C-6595743B6932}" xr6:coauthVersionLast="47" xr6:coauthVersionMax="47" xr10:uidLastSave="{EE87EAE0-6093-884E-B1CA-FC90324FC0FD}"/>
  <bookViews>
    <workbookView xWindow="400" yWindow="600" windowWidth="27100" windowHeight="16060" xr2:uid="{D3A8F610-DEF9-4677-8017-71853BB84063}"/>
  </bookViews>
  <sheets>
    <sheet name="Order Cost" sheetId="1" r:id="rId1"/>
    <sheet name="Order Breakdown per Day" sheetId="2" r:id="rId2"/>
    <sheet name="Adjusted" sheetId="3" r:id="rId3"/>
    <sheet name="Lunches expande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4" l="1"/>
  <c r="I46" i="4"/>
  <c r="O45" i="4"/>
  <c r="K45" i="4"/>
  <c r="C45" i="4"/>
  <c r="Q44" i="4"/>
  <c r="K44" i="4"/>
  <c r="E44" i="4"/>
  <c r="Q43" i="4"/>
  <c r="K43" i="4"/>
  <c r="E43" i="4"/>
  <c r="Q42" i="4"/>
  <c r="K42" i="4"/>
  <c r="E42" i="4"/>
  <c r="Q41" i="4"/>
  <c r="K41" i="4"/>
  <c r="E41" i="4"/>
  <c r="Q40" i="4"/>
  <c r="K40" i="4"/>
  <c r="E40" i="4"/>
  <c r="Q39" i="4"/>
  <c r="K39" i="4"/>
  <c r="E39" i="4"/>
  <c r="Q38" i="4"/>
  <c r="K38" i="4"/>
  <c r="E38" i="4"/>
  <c r="Q37" i="4"/>
  <c r="K37" i="4"/>
  <c r="E37" i="4"/>
  <c r="Q34" i="4"/>
  <c r="Q50" i="4" s="1"/>
  <c r="K34" i="4"/>
  <c r="C34" i="4"/>
  <c r="E34" i="4" s="1"/>
  <c r="O19" i="4"/>
  <c r="I19" i="4"/>
  <c r="Q18" i="4"/>
  <c r="K18" i="4"/>
  <c r="Q17" i="4"/>
  <c r="K17" i="4"/>
  <c r="Q16" i="4"/>
  <c r="K16" i="4"/>
  <c r="Q15" i="4"/>
  <c r="K15" i="4"/>
  <c r="O10" i="4"/>
  <c r="C10" i="4"/>
  <c r="Q9" i="4"/>
  <c r="I9" i="4"/>
  <c r="Q8" i="4"/>
  <c r="K8" i="4"/>
  <c r="C8" i="4"/>
  <c r="Q7" i="4"/>
  <c r="K7" i="4"/>
  <c r="E7" i="4"/>
  <c r="Q6" i="4"/>
  <c r="K6" i="4"/>
  <c r="E6" i="4"/>
  <c r="Q5" i="4"/>
  <c r="K5" i="4"/>
  <c r="E5" i="4"/>
  <c r="Q4" i="4"/>
  <c r="K4" i="4"/>
  <c r="E4" i="4"/>
  <c r="Q3" i="4"/>
  <c r="K3" i="4"/>
  <c r="E3" i="4"/>
  <c r="Q2" i="4"/>
  <c r="K2" i="4"/>
  <c r="E2" i="4"/>
  <c r="C24" i="3"/>
  <c r="Q39" i="3"/>
  <c r="O19" i="3"/>
  <c r="Q17" i="3"/>
  <c r="C8" i="3"/>
  <c r="O34" i="3"/>
  <c r="I35" i="3"/>
  <c r="E29" i="3"/>
  <c r="K29" i="3"/>
  <c r="Q29" i="3"/>
  <c r="Q5" i="3"/>
  <c r="K5" i="3"/>
  <c r="E5" i="3"/>
  <c r="C34" i="3"/>
  <c r="Q15" i="3"/>
  <c r="I19" i="3"/>
  <c r="O10" i="3"/>
  <c r="I9" i="3"/>
  <c r="K33" i="3"/>
  <c r="Q33" i="3"/>
  <c r="K34" i="3"/>
  <c r="E33" i="3"/>
  <c r="Q32" i="3"/>
  <c r="K32" i="3"/>
  <c r="E32" i="3"/>
  <c r="Q31" i="3"/>
  <c r="K31" i="3"/>
  <c r="E31" i="3"/>
  <c r="Q30" i="3"/>
  <c r="K30" i="3"/>
  <c r="E30" i="3"/>
  <c r="Q28" i="3"/>
  <c r="K28" i="3"/>
  <c r="E28" i="3"/>
  <c r="Q27" i="3"/>
  <c r="K27" i="3"/>
  <c r="E27" i="3"/>
  <c r="Q26" i="3"/>
  <c r="K26" i="3"/>
  <c r="E26" i="3"/>
  <c r="Q24" i="3"/>
  <c r="K24" i="3"/>
  <c r="E24" i="3"/>
  <c r="K18" i="3"/>
  <c r="K17" i="3"/>
  <c r="Q18" i="3"/>
  <c r="K16" i="3"/>
  <c r="Q16" i="3"/>
  <c r="K15" i="3"/>
  <c r="C10" i="3"/>
  <c r="Q9" i="3"/>
  <c r="Q8" i="3"/>
  <c r="K8" i="3"/>
  <c r="Q7" i="3"/>
  <c r="K7" i="3"/>
  <c r="E7" i="3"/>
  <c r="Q6" i="3"/>
  <c r="K6" i="3"/>
  <c r="E6" i="3"/>
  <c r="Q4" i="3"/>
  <c r="K4" i="3"/>
  <c r="E4" i="3"/>
  <c r="Q3" i="3"/>
  <c r="K3" i="3"/>
  <c r="E3" i="3"/>
  <c r="Q2" i="3"/>
  <c r="K2" i="3"/>
  <c r="E2" i="3"/>
  <c r="K26" i="2"/>
  <c r="Q2" i="2"/>
  <c r="Q11" i="2" s="1"/>
  <c r="Q39" i="2" s="1"/>
  <c r="K39" i="2"/>
  <c r="E39" i="2"/>
  <c r="Q36" i="2"/>
  <c r="K35" i="2"/>
  <c r="J37" i="2" s="1"/>
  <c r="E35" i="2"/>
  <c r="D37" i="2" s="1"/>
  <c r="K20" i="2"/>
  <c r="Q18" i="2"/>
  <c r="K10" i="2"/>
  <c r="E9" i="2"/>
  <c r="P38" i="2"/>
  <c r="J22" i="2"/>
  <c r="P20" i="2"/>
  <c r="Q24" i="2"/>
  <c r="K24" i="2"/>
  <c r="E24" i="2"/>
  <c r="O35" i="2"/>
  <c r="I34" i="2"/>
  <c r="I19" i="2"/>
  <c r="C10" i="2"/>
  <c r="I9" i="2"/>
  <c r="C34" i="2"/>
  <c r="Q27" i="2"/>
  <c r="Q28" i="2"/>
  <c r="Q29" i="2"/>
  <c r="Q30" i="2"/>
  <c r="Q31" i="2"/>
  <c r="Q32" i="2"/>
  <c r="Q33" i="2"/>
  <c r="Q34" i="2"/>
  <c r="K27" i="2"/>
  <c r="K28" i="2"/>
  <c r="K29" i="2"/>
  <c r="K30" i="2"/>
  <c r="K31" i="2"/>
  <c r="K32" i="2"/>
  <c r="K33" i="2"/>
  <c r="Q26" i="2"/>
  <c r="E26" i="2"/>
  <c r="E27" i="2"/>
  <c r="E28" i="2"/>
  <c r="E29" i="2"/>
  <c r="E30" i="2"/>
  <c r="E31" i="2"/>
  <c r="E32" i="2"/>
  <c r="E33" i="2"/>
  <c r="Q16" i="2"/>
  <c r="Q15" i="2"/>
  <c r="K16" i="2"/>
  <c r="K17" i="2"/>
  <c r="K18" i="2"/>
  <c r="K15" i="2"/>
  <c r="Q3" i="2"/>
  <c r="Q4" i="2"/>
  <c r="Q5" i="2"/>
  <c r="Q6" i="2"/>
  <c r="Q7" i="2"/>
  <c r="Q8" i="2"/>
  <c r="Q9" i="2"/>
  <c r="K3" i="2"/>
  <c r="K4" i="2"/>
  <c r="K5" i="2"/>
  <c r="K6" i="2"/>
  <c r="K7" i="2"/>
  <c r="K8" i="2"/>
  <c r="K2" i="2"/>
  <c r="E3" i="2"/>
  <c r="E4" i="2"/>
  <c r="E5" i="2"/>
  <c r="E6" i="2"/>
  <c r="E7" i="2"/>
  <c r="E2" i="2"/>
  <c r="I8" i="1"/>
  <c r="I5" i="1"/>
  <c r="D13" i="1"/>
  <c r="D12" i="1"/>
  <c r="D11" i="1"/>
  <c r="D3" i="1"/>
  <c r="D4" i="1"/>
  <c r="D5" i="1"/>
  <c r="D6" i="1"/>
  <c r="D7" i="1"/>
  <c r="D8" i="1"/>
  <c r="D9" i="1"/>
  <c r="D2" i="1"/>
  <c r="K10" i="4" l="1"/>
  <c r="K20" i="4"/>
  <c r="E46" i="4"/>
  <c r="Q11" i="4"/>
  <c r="Q20" i="4"/>
  <c r="O20" i="4" s="1"/>
  <c r="K47" i="4"/>
  <c r="J49" i="4" s="1"/>
  <c r="E9" i="4"/>
  <c r="D11" i="4" s="1"/>
  <c r="Q46" i="4"/>
  <c r="I10" i="4"/>
  <c r="J12" i="4"/>
  <c r="I20" i="4"/>
  <c r="J22" i="4"/>
  <c r="O11" i="4"/>
  <c r="P13" i="4"/>
  <c r="D48" i="4"/>
  <c r="C46" i="4"/>
  <c r="K36" i="3"/>
  <c r="K20" i="3"/>
  <c r="J22" i="3" s="1"/>
  <c r="Q35" i="3"/>
  <c r="O35" i="3" s="1"/>
  <c r="K10" i="3"/>
  <c r="I10" i="3" s="1"/>
  <c r="Q11" i="3"/>
  <c r="P13" i="3" s="1"/>
  <c r="E35" i="3"/>
  <c r="D37" i="3" s="1"/>
  <c r="Q20" i="3"/>
  <c r="P22" i="3" s="1"/>
  <c r="E9" i="3"/>
  <c r="C9" i="3" s="1"/>
  <c r="Q40" i="2"/>
  <c r="Q41" i="2" s="1"/>
  <c r="B44" i="2" s="1"/>
  <c r="K40" i="2"/>
  <c r="K41" i="2" s="1"/>
  <c r="I35" i="2"/>
  <c r="O36" i="2"/>
  <c r="O18" i="2"/>
  <c r="C35" i="2"/>
  <c r="I20" i="2"/>
  <c r="E40" i="2"/>
  <c r="E41" i="2" s="1"/>
  <c r="P48" i="4" l="1"/>
  <c r="O46" i="4"/>
  <c r="K50" i="4"/>
  <c r="K51" i="4" s="1"/>
  <c r="K52" i="4" s="1"/>
  <c r="I47" i="4"/>
  <c r="P22" i="4"/>
  <c r="E50" i="4"/>
  <c r="C9" i="4"/>
  <c r="Q51" i="4"/>
  <c r="Q52" i="4" s="1"/>
  <c r="J38" i="3"/>
  <c r="I36" i="3"/>
  <c r="Q40" i="3"/>
  <c r="Q41" i="3" s="1"/>
  <c r="D11" i="3"/>
  <c r="J12" i="3"/>
  <c r="P37" i="3"/>
  <c r="K39" i="3"/>
  <c r="K40" i="3" s="1"/>
  <c r="K41" i="3" s="1"/>
  <c r="I20" i="3"/>
  <c r="O20" i="3"/>
  <c r="E39" i="3"/>
  <c r="E40" i="3" s="1"/>
  <c r="E41" i="3" s="1"/>
  <c r="O11" i="3"/>
  <c r="C35" i="3"/>
  <c r="O11" i="2"/>
  <c r="P13" i="2"/>
  <c r="I10" i="2"/>
  <c r="J12" i="2"/>
  <c r="C9" i="2"/>
  <c r="D11" i="2"/>
  <c r="E51" i="4" l="1"/>
  <c r="E52" i="4" s="1"/>
  <c r="B55" i="4" s="1"/>
  <c r="B57" i="4" s="1"/>
  <c r="B58" i="4" s="1"/>
  <c r="B44" i="3"/>
  <c r="B46" i="3" s="1"/>
  <c r="B47" i="3" s="1"/>
  <c r="B46" i="2"/>
  <c r="B47" i="2" s="1"/>
</calcChain>
</file>

<file path=xl/sharedStrings.xml><?xml version="1.0" encoding="utf-8"?>
<sst xmlns="http://schemas.openxmlformats.org/spreadsheetml/2006/main" count="501" uniqueCount="81">
  <si>
    <t>Section</t>
  </si>
  <si>
    <t>Thurs (1 break + 1 refresh)</t>
  </si>
  <si>
    <t>Qty</t>
  </si>
  <si>
    <t>Unit price</t>
  </si>
  <si>
    <t>Total costs</t>
  </si>
  <si>
    <t>Friday (2 break + 1 refresh)</t>
  </si>
  <si>
    <t>Saturday (1 break + 1 refresh)</t>
  </si>
  <si>
    <t>Breakfast</t>
  </si>
  <si>
    <t>Fair Trade Coffee - 100 Cup Urn</t>
  </si>
  <si>
    <t xml:space="preserve">Note Order Status turns green when the number of servings is within 10% of our maximum attendance. </t>
  </si>
  <si>
    <t xml:space="preserve">Pond Inlet </t>
  </si>
  <si>
    <t>Tea Service</t>
  </si>
  <si>
    <t xml:space="preserve">Plaza </t>
  </si>
  <si>
    <t>10:30am</t>
  </si>
  <si>
    <t>Lemon Infused Water (Serves 40)</t>
  </si>
  <si>
    <t>Cucumber-Mint Infused Water (Serves 40)</t>
  </si>
  <si>
    <t>Fresh Fruit Platter - Serves 12</t>
  </si>
  <si>
    <t>Fresh Croissant tray</t>
  </si>
  <si>
    <t>Fresh Croissant tray - 12</t>
  </si>
  <si>
    <t xml:space="preserve">Total servings </t>
  </si>
  <si>
    <t>Assuming each person takes one serving of each platter</t>
  </si>
  <si>
    <t>Muffin tray - 12</t>
  </si>
  <si>
    <t>Per serving food</t>
  </si>
  <si>
    <t>Total break cost</t>
  </si>
  <si>
    <t>Total servings</t>
  </si>
  <si>
    <t>Assuming one pastry pp</t>
  </si>
  <si>
    <t>Danish tray - 12</t>
  </si>
  <si>
    <t xml:space="preserve">Estimated attendence 25% </t>
  </si>
  <si>
    <t>Order Status</t>
  </si>
  <si>
    <t>Per serving cost</t>
  </si>
  <si>
    <t xml:space="preserve">Total Servings </t>
  </si>
  <si>
    <t>Guestimated cost per paying attendee (this break)</t>
  </si>
  <si>
    <t xml:space="preserve">Estimated attendence 100% </t>
  </si>
  <si>
    <t>Refresher break</t>
  </si>
  <si>
    <t>NA</t>
  </si>
  <si>
    <t>Cheese tray - 12</t>
  </si>
  <si>
    <t>*move Breakfast leftovers to Thistle</t>
  </si>
  <si>
    <t>Cookie tray - 12</t>
  </si>
  <si>
    <t>Coffee Urn - 100 cups</t>
  </si>
  <si>
    <t>Fruit tray - 12</t>
  </si>
  <si>
    <t>Assuming one cookie pp</t>
  </si>
  <si>
    <t>Lunch</t>
  </si>
  <si>
    <t>TBD</t>
  </si>
  <si>
    <t xml:space="preserve">Full Coffee Break </t>
  </si>
  <si>
    <t>Full Coffee Break</t>
  </si>
  <si>
    <t>plaza</t>
  </si>
  <si>
    <t>Pond</t>
  </si>
  <si>
    <t>5:00pm</t>
  </si>
  <si>
    <t>Cucumber Infused Water (Serves 40)</t>
  </si>
  <si>
    <t>Vegetable Platter - Serves 12</t>
  </si>
  <si>
    <t>Cheese Tray - Serves 12</t>
  </si>
  <si>
    <t>Cookie and Brownie Tray - Serves 12</t>
  </si>
  <si>
    <t>Danish tray - serves 12</t>
  </si>
  <si>
    <t>SUBTOTAL</t>
  </si>
  <si>
    <t>HST</t>
  </si>
  <si>
    <t>TOTAL</t>
  </si>
  <si>
    <t>GRAND TOTAL</t>
  </si>
  <si>
    <t xml:space="preserve">Note we need to include the max 40 volunteers, 15 LOC, and 3 keynotes as non paying guests, I estimated 160 paying guests. </t>
  </si>
  <si>
    <t>paying guests</t>
  </si>
  <si>
    <t>Guestimated cost per paying attendee</t>
  </si>
  <si>
    <t>Remaining Ticket money</t>
  </si>
  <si>
    <t>Item</t>
  </si>
  <si>
    <t>Unit cost</t>
  </si>
  <si>
    <t>Qty cost</t>
  </si>
  <si>
    <t>Order total for 1 coffee break invoice =</t>
  </si>
  <si>
    <t>Number coffee breaks on schedule =</t>
  </si>
  <si>
    <t>Total order costs =</t>
  </si>
  <si>
    <t>Estimated guest count =</t>
  </si>
  <si>
    <t>Total costs per person =</t>
  </si>
  <si>
    <t>Subtotal</t>
  </si>
  <si>
    <t>HST (13%)</t>
  </si>
  <si>
    <t>no. full orders</t>
  </si>
  <si>
    <t>Order total</t>
  </si>
  <si>
    <t xml:space="preserve">Note we need to include the max 40 volunteers, 15 LOC, and 3 keynotes as non paying guests </t>
  </si>
  <si>
    <t>Chicken parm (serves 24)</t>
  </si>
  <si>
    <t>roast beef (serves 24)</t>
  </si>
  <si>
    <t>Pond Inlet</t>
  </si>
  <si>
    <t>12pm</t>
  </si>
  <si>
    <t>Vegan (serves 24)</t>
  </si>
  <si>
    <t xml:space="preserve">12pm </t>
  </si>
  <si>
    <t>Note this comes with the choice of 2 sides per order. We can choose between 2 and 6 different sides (soups or salads) I am team 3 of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</si>
</sst>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([$$-409]* #,##0.00_);_([$$-409]* \(#,##0.00\);_([$$-409]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8"/>
      <color theme="1"/>
      <name val="Aptos Narrow (Body)"/>
    </font>
    <font>
      <b/>
      <sz val="8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5CE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AE9DF4"/>
        <bgColor indexed="64"/>
      </patternFill>
    </fill>
    <fill>
      <patternFill patternType="solid">
        <fgColor rgb="FFDBE9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2" fontId="0" fillId="0" borderId="0" xfId="0" applyNumberFormat="1"/>
    <xf numFmtId="2" fontId="2" fillId="0" borderId="0" xfId="0" applyNumberFormat="1" applyFont="1"/>
    <xf numFmtId="0" fontId="0" fillId="0" borderId="0" xfId="0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0" fillId="2" borderId="4" xfId="0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0" fontId="2" fillId="2" borderId="0" xfId="0" applyFont="1" applyFill="1" applyAlignment="1">
      <alignment horizontal="right"/>
    </xf>
    <xf numFmtId="165" fontId="2" fillId="2" borderId="5" xfId="1" applyFont="1" applyFill="1" applyBorder="1" applyAlignment="1">
      <alignment horizontal="left"/>
    </xf>
    <xf numFmtId="0" fontId="0" fillId="2" borderId="6" xfId="0" applyFill="1" applyBorder="1"/>
    <xf numFmtId="0" fontId="0" fillId="2" borderId="7" xfId="0" applyFill="1" applyBorder="1"/>
    <xf numFmtId="0" fontId="2" fillId="2" borderId="7" xfId="0" applyFont="1" applyFill="1" applyBorder="1" applyAlignment="1">
      <alignment horizontal="right"/>
    </xf>
    <xf numFmtId="164" fontId="0" fillId="2" borderId="3" xfId="0" applyNumberForma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165" fontId="2" fillId="2" borderId="8" xfId="0" applyNumberFormat="1" applyFont="1" applyFill="1" applyBorder="1" applyAlignment="1">
      <alignment horizontal="left"/>
    </xf>
    <xf numFmtId="16" fontId="0" fillId="0" borderId="0" xfId="0" applyNumberFormat="1"/>
    <xf numFmtId="0" fontId="0" fillId="3" borderId="0" xfId="0" applyFill="1"/>
    <xf numFmtId="0" fontId="2" fillId="0" borderId="7" xfId="0" applyFont="1" applyBorder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4" borderId="0" xfId="0" applyFont="1" applyFill="1"/>
    <xf numFmtId="0" fontId="0" fillId="4" borderId="0" xfId="0" applyFill="1"/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  <xf numFmtId="166" fontId="0" fillId="0" borderId="0" xfId="0" applyNumberFormat="1"/>
    <xf numFmtId="166" fontId="2" fillId="0" borderId="7" xfId="0" applyNumberFormat="1" applyFont="1" applyBorder="1"/>
    <xf numFmtId="0" fontId="2" fillId="0" borderId="9" xfId="0" applyFont="1" applyBorder="1"/>
    <xf numFmtId="0" fontId="0" fillId="0" borderId="9" xfId="0" applyBorder="1"/>
    <xf numFmtId="166" fontId="0" fillId="0" borderId="9" xfId="0" applyNumberFormat="1" applyBorder="1"/>
    <xf numFmtId="0" fontId="2" fillId="2" borderId="10" xfId="0" applyFont="1" applyFill="1" applyBorder="1"/>
    <xf numFmtId="166" fontId="0" fillId="2" borderId="11" xfId="0" applyNumberFormat="1" applyFill="1" applyBorder="1"/>
    <xf numFmtId="0" fontId="4" fillId="6" borderId="12" xfId="0" applyFont="1" applyFill="1" applyBorder="1"/>
    <xf numFmtId="0" fontId="4" fillId="6" borderId="13" xfId="0" applyFont="1" applyFill="1" applyBorder="1"/>
    <xf numFmtId="166" fontId="4" fillId="6" borderId="13" xfId="0" applyNumberFormat="1" applyFont="1" applyFill="1" applyBorder="1" applyAlignment="1">
      <alignment horizontal="center"/>
    </xf>
    <xf numFmtId="166" fontId="4" fillId="6" borderId="14" xfId="0" applyNumberFormat="1" applyFont="1" applyFill="1" applyBorder="1" applyAlignment="1">
      <alignment horizontal="center"/>
    </xf>
    <xf numFmtId="0" fontId="2" fillId="7" borderId="7" xfId="0" applyFont="1" applyFill="1" applyBorder="1"/>
    <xf numFmtId="0" fontId="0" fillId="7" borderId="0" xfId="0" applyFill="1"/>
    <xf numFmtId="0" fontId="0" fillId="7" borderId="9" xfId="0" applyFill="1" applyBorder="1"/>
    <xf numFmtId="0" fontId="2" fillId="6" borderId="12" xfId="0" applyFont="1" applyFill="1" applyBorder="1"/>
    <xf numFmtId="0" fontId="2" fillId="6" borderId="13" xfId="0" applyFont="1" applyFill="1" applyBorder="1"/>
    <xf numFmtId="166" fontId="0" fillId="0" borderId="0" xfId="0" applyNumberFormat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right"/>
    </xf>
    <xf numFmtId="166" fontId="0" fillId="8" borderId="0" xfId="0" applyNumberFormat="1" applyFill="1"/>
    <xf numFmtId="0" fontId="2" fillId="9" borderId="0" xfId="0" applyFont="1" applyFill="1" applyAlignment="1">
      <alignment wrapText="1"/>
    </xf>
    <xf numFmtId="0" fontId="2" fillId="9" borderId="0" xfId="0" applyFont="1" applyFill="1"/>
    <xf numFmtId="0" fontId="2" fillId="9" borderId="7" xfId="0" applyFont="1" applyFill="1" applyBorder="1"/>
    <xf numFmtId="166" fontId="4" fillId="1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166" fontId="4" fillId="0" borderId="0" xfId="0" applyNumberFormat="1" applyFont="1" applyAlignment="1">
      <alignment horizontal="center" vertical="center"/>
    </xf>
    <xf numFmtId="166" fontId="0" fillId="4" borderId="0" xfId="0" applyNumberFormat="1" applyFill="1"/>
    <xf numFmtId="0" fontId="3" fillId="0" borderId="0" xfId="0" applyFont="1" applyAlignment="1">
      <alignment horizontal="center" vertical="center"/>
    </xf>
    <xf numFmtId="166" fontId="4" fillId="0" borderId="0" xfId="0" applyNumberFormat="1" applyFont="1"/>
    <xf numFmtId="0" fontId="2" fillId="2" borderId="0" xfId="0" applyFont="1" applyFill="1" applyAlignment="1">
      <alignment wrapText="1"/>
    </xf>
    <xf numFmtId="166" fontId="2" fillId="2" borderId="0" xfId="0" applyNumberFormat="1" applyFont="1" applyFill="1"/>
    <xf numFmtId="0" fontId="7" fillId="0" borderId="0" xfId="0" applyFont="1"/>
    <xf numFmtId="18" fontId="7" fillId="0" borderId="0" xfId="0" applyNumberFormat="1" applyFont="1"/>
    <xf numFmtId="0" fontId="2" fillId="11" borderId="0" xfId="0" applyFont="1" applyFill="1"/>
    <xf numFmtId="0" fontId="4" fillId="10" borderId="0" xfId="0" applyFont="1" applyFill="1" applyAlignment="1">
      <alignment horizontal="center"/>
    </xf>
    <xf numFmtId="166" fontId="4" fillId="10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6" fontId="5" fillId="6" borderId="13" xfId="0" applyNumberFormat="1" applyFont="1" applyFill="1" applyBorder="1" applyAlignment="1">
      <alignment horizontal="center" wrapText="1"/>
    </xf>
    <xf numFmtId="166" fontId="6" fillId="6" borderId="14" xfId="0" applyNumberFormat="1" applyFont="1" applyFill="1" applyBorder="1" applyAlignment="1">
      <alignment horizontal="center" wrapText="1"/>
    </xf>
    <xf numFmtId="166" fontId="4" fillId="6" borderId="13" xfId="0" applyNumberFormat="1" applyFont="1" applyFill="1" applyBorder="1" applyAlignment="1">
      <alignment horizontal="center"/>
    </xf>
    <xf numFmtId="166" fontId="4" fillId="6" borderId="14" xfId="0" applyNumberFormat="1" applyFont="1" applyFill="1" applyBorder="1" applyAlignment="1">
      <alignment horizontal="center"/>
    </xf>
    <xf numFmtId="0" fontId="3" fillId="5" borderId="0" xfId="0" applyFont="1" applyFill="1" applyAlignment="1">
      <alignment horizontal="center" vertical="center"/>
    </xf>
    <xf numFmtId="166" fontId="5" fillId="6" borderId="14" xfId="0" applyNumberFormat="1" applyFont="1" applyFill="1" applyBorder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Currency" xfId="1" builtinId="4"/>
    <cellStyle name="Normal" xfId="0" builtinId="0"/>
  </cellStyles>
  <dxfs count="84"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DBE9F9"/>
      <color rgb="FFFFB3A8"/>
      <color rgb="FFFFFFCC"/>
      <color rgb="FFFFFF99"/>
      <color rgb="FFAE9DF4"/>
      <color rgb="FFD5C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3B0D-A119-4498-95EA-5059AFFDDC90}">
  <dimension ref="A1:I13"/>
  <sheetViews>
    <sheetView tabSelected="1" zoomScale="120" zoomScaleNormal="120" workbookViewId="0">
      <selection activeCell="C26" sqref="C26"/>
    </sheetView>
  </sheetViews>
  <sheetFormatPr baseColWidth="10" defaultColWidth="8.83203125" defaultRowHeight="15" x14ac:dyDescent="0.2"/>
  <cols>
    <col min="1" max="1" width="33.1640625" bestFit="1" customWidth="1"/>
    <col min="7" max="7" width="12.83203125" customWidth="1"/>
    <col min="8" max="8" width="13.5" customWidth="1"/>
    <col min="9" max="9" width="10.5" bestFit="1" customWidth="1"/>
  </cols>
  <sheetData>
    <row r="1" spans="1:9" x14ac:dyDescent="0.2">
      <c r="A1" s="1" t="s">
        <v>61</v>
      </c>
      <c r="B1" s="1" t="s">
        <v>2</v>
      </c>
      <c r="C1" s="1" t="s">
        <v>62</v>
      </c>
      <c r="D1" s="1" t="s">
        <v>63</v>
      </c>
    </row>
    <row r="2" spans="1:9" x14ac:dyDescent="0.2">
      <c r="A2" t="s">
        <v>8</v>
      </c>
      <c r="B2">
        <v>3</v>
      </c>
      <c r="C2">
        <v>149.35</v>
      </c>
      <c r="D2">
        <f>C2*B2</f>
        <v>448.04999999999995</v>
      </c>
    </row>
    <row r="3" spans="1:9" x14ac:dyDescent="0.2">
      <c r="A3" t="s">
        <v>11</v>
      </c>
      <c r="B3">
        <v>2</v>
      </c>
      <c r="C3">
        <v>15.45</v>
      </c>
      <c r="D3">
        <f t="shared" ref="D3:D9" si="0">C3*B3</f>
        <v>30.9</v>
      </c>
      <c r="F3" s="5"/>
      <c r="G3" s="6"/>
      <c r="H3" s="7" t="s">
        <v>64</v>
      </c>
      <c r="I3" s="16">
        <v>1632</v>
      </c>
    </row>
    <row r="4" spans="1:9" x14ac:dyDescent="0.2">
      <c r="A4" t="s">
        <v>14</v>
      </c>
      <c r="B4">
        <v>2</v>
      </c>
      <c r="C4">
        <v>37.5</v>
      </c>
      <c r="D4">
        <f t="shared" si="0"/>
        <v>75</v>
      </c>
      <c r="F4" s="8"/>
      <c r="G4" s="9"/>
      <c r="H4" s="10" t="s">
        <v>65</v>
      </c>
      <c r="I4" s="17">
        <v>5</v>
      </c>
    </row>
    <row r="5" spans="1:9" x14ac:dyDescent="0.2">
      <c r="A5" t="s">
        <v>48</v>
      </c>
      <c r="B5">
        <v>2</v>
      </c>
      <c r="C5">
        <v>37.5</v>
      </c>
      <c r="D5">
        <f t="shared" si="0"/>
        <v>75</v>
      </c>
      <c r="F5" s="8"/>
      <c r="G5" s="9"/>
      <c r="H5" s="11" t="s">
        <v>66</v>
      </c>
      <c r="I5" s="12">
        <f>I3*I4</f>
        <v>8160</v>
      </c>
    </row>
    <row r="6" spans="1:9" x14ac:dyDescent="0.2">
      <c r="A6" s="20" t="s">
        <v>49</v>
      </c>
      <c r="B6">
        <v>48</v>
      </c>
      <c r="C6">
        <v>4.8899999999999997</v>
      </c>
      <c r="D6">
        <f t="shared" si="0"/>
        <v>234.71999999999997</v>
      </c>
      <c r="F6" s="8"/>
      <c r="G6" s="9"/>
      <c r="H6" s="9"/>
      <c r="I6" s="17"/>
    </row>
    <row r="7" spans="1:9" x14ac:dyDescent="0.2">
      <c r="A7" s="20" t="s">
        <v>50</v>
      </c>
      <c r="B7">
        <v>48</v>
      </c>
      <c r="C7">
        <v>5.41</v>
      </c>
      <c r="D7">
        <f t="shared" si="0"/>
        <v>259.68</v>
      </c>
      <c r="F7" s="8"/>
      <c r="G7" s="9"/>
      <c r="H7" s="10" t="s">
        <v>67</v>
      </c>
      <c r="I7" s="17">
        <v>200</v>
      </c>
    </row>
    <row r="8" spans="1:9" x14ac:dyDescent="0.2">
      <c r="A8" t="s">
        <v>16</v>
      </c>
      <c r="B8">
        <v>48</v>
      </c>
      <c r="C8">
        <v>4.1100000000000003</v>
      </c>
      <c r="D8">
        <f t="shared" si="0"/>
        <v>197.28000000000003</v>
      </c>
      <c r="F8" s="13"/>
      <c r="G8" s="14"/>
      <c r="H8" s="15" t="s">
        <v>68</v>
      </c>
      <c r="I8" s="18">
        <f>I5/I7</f>
        <v>40.799999999999997</v>
      </c>
    </row>
    <row r="9" spans="1:9" x14ac:dyDescent="0.2">
      <c r="A9" t="s">
        <v>51</v>
      </c>
      <c r="B9">
        <v>48</v>
      </c>
      <c r="C9">
        <v>2.56</v>
      </c>
      <c r="D9">
        <f t="shared" si="0"/>
        <v>122.88</v>
      </c>
      <c r="H9" s="4"/>
    </row>
    <row r="11" spans="1:9" x14ac:dyDescent="0.2">
      <c r="A11" t="s">
        <v>69</v>
      </c>
      <c r="D11">
        <f>SUM(D2:D9)</f>
        <v>1443.5099999999998</v>
      </c>
      <c r="G11" s="19">
        <v>46142</v>
      </c>
      <c r="H11" s="19">
        <v>46143</v>
      </c>
      <c r="I11" s="19">
        <v>46144</v>
      </c>
    </row>
    <row r="12" spans="1:9" x14ac:dyDescent="0.2">
      <c r="A12" t="s">
        <v>70</v>
      </c>
      <c r="D12" s="2">
        <f>D11*0.13</f>
        <v>187.65629999999999</v>
      </c>
      <c r="F12" t="s">
        <v>71</v>
      </c>
      <c r="G12">
        <v>2</v>
      </c>
      <c r="H12">
        <v>1</v>
      </c>
      <c r="I12">
        <v>1</v>
      </c>
    </row>
    <row r="13" spans="1:9" x14ac:dyDescent="0.2">
      <c r="A13" s="1" t="s">
        <v>72</v>
      </c>
      <c r="B13" s="1"/>
      <c r="C13" s="1"/>
      <c r="D13" s="3">
        <f>D11+D12</f>
        <v>1631.1662999999999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F8FA-2BB5-4CD4-8E65-65D2DAC343B9}">
  <dimension ref="A1:U47"/>
  <sheetViews>
    <sheetView topLeftCell="B1" zoomScale="107" zoomScaleNormal="100" workbookViewId="0">
      <selection activeCell="T16" sqref="T16"/>
    </sheetView>
  </sheetViews>
  <sheetFormatPr baseColWidth="10" defaultColWidth="8.83203125" defaultRowHeight="15" customHeight="1" x14ac:dyDescent="0.2"/>
  <cols>
    <col min="1" max="1" width="13.83203125" style="1" customWidth="1"/>
    <col min="2" max="2" width="34" customWidth="1"/>
    <col min="3" max="3" width="7.33203125" customWidth="1"/>
    <col min="4" max="4" width="12.83203125" style="28" customWidth="1"/>
    <col min="5" max="5" width="15.1640625" style="28" customWidth="1"/>
    <col min="6" max="6" width="1" style="40" customWidth="1"/>
    <col min="7" max="7" width="12.6640625" style="1" customWidth="1"/>
    <col min="8" max="8" width="35.5" bestFit="1" customWidth="1"/>
    <col min="9" max="9" width="9" customWidth="1"/>
    <col min="10" max="10" width="14.1640625" style="28" customWidth="1"/>
    <col min="11" max="11" width="13.33203125" style="28" customWidth="1"/>
    <col min="12" max="12" width="0.83203125" style="40" customWidth="1"/>
    <col min="13" max="13" width="11.5" style="1" customWidth="1"/>
    <col min="14" max="14" width="35.5" bestFit="1" customWidth="1"/>
    <col min="15" max="15" width="7.83203125" customWidth="1"/>
    <col min="16" max="16" width="13.83203125" style="28" customWidth="1"/>
    <col min="17" max="17" width="12.5" style="28" customWidth="1"/>
  </cols>
  <sheetData>
    <row r="1" spans="1:21" s="21" customFormat="1" x14ac:dyDescent="0.2">
      <c r="A1" s="21" t="s">
        <v>0</v>
      </c>
      <c r="B1" s="50" t="s">
        <v>1</v>
      </c>
      <c r="C1" s="21" t="s">
        <v>2</v>
      </c>
      <c r="D1" s="29" t="s">
        <v>3</v>
      </c>
      <c r="E1" s="29" t="s">
        <v>4</v>
      </c>
      <c r="F1" s="39"/>
      <c r="G1" s="21" t="s">
        <v>0</v>
      </c>
      <c r="H1" s="50" t="s">
        <v>5</v>
      </c>
      <c r="I1" s="21" t="s">
        <v>2</v>
      </c>
      <c r="J1" s="29" t="s">
        <v>3</v>
      </c>
      <c r="K1" s="29" t="s">
        <v>4</v>
      </c>
      <c r="L1" s="39"/>
      <c r="M1" s="21" t="s">
        <v>0</v>
      </c>
      <c r="N1" s="50" t="s">
        <v>6</v>
      </c>
      <c r="O1" s="21" t="s">
        <v>2</v>
      </c>
      <c r="P1" s="29" t="s">
        <v>3</v>
      </c>
      <c r="Q1" s="29" t="s">
        <v>4</v>
      </c>
    </row>
    <row r="2" spans="1:21" x14ac:dyDescent="0.2">
      <c r="A2" s="49" t="s">
        <v>7</v>
      </c>
      <c r="B2" t="s">
        <v>8</v>
      </c>
      <c r="C2">
        <v>2</v>
      </c>
      <c r="D2" s="28">
        <v>149.35</v>
      </c>
      <c r="E2" s="28">
        <f>C2*D2</f>
        <v>298.7</v>
      </c>
      <c r="G2" s="49" t="s">
        <v>7</v>
      </c>
      <c r="H2" t="s">
        <v>8</v>
      </c>
      <c r="I2">
        <v>3</v>
      </c>
      <c r="J2" s="28">
        <v>149.35</v>
      </c>
      <c r="K2" s="28">
        <f>I2*J2</f>
        <v>448.04999999999995</v>
      </c>
      <c r="M2" s="49" t="s">
        <v>7</v>
      </c>
      <c r="N2" t="s">
        <v>8</v>
      </c>
      <c r="O2">
        <v>3</v>
      </c>
      <c r="P2" s="28">
        <v>149.35</v>
      </c>
      <c r="Q2" s="28">
        <f>O2*P2</f>
        <v>448.04999999999995</v>
      </c>
      <c r="R2" s="65" t="s">
        <v>9</v>
      </c>
      <c r="S2" s="65"/>
      <c r="T2" s="65"/>
      <c r="U2" s="65"/>
    </row>
    <row r="3" spans="1:21" x14ac:dyDescent="0.2">
      <c r="B3" t="s">
        <v>11</v>
      </c>
      <c r="C3">
        <v>1</v>
      </c>
      <c r="D3" s="28">
        <v>15.45</v>
      </c>
      <c r="E3" s="28">
        <f t="shared" ref="E3:E7" si="0">C3*D3</f>
        <v>15.45</v>
      </c>
      <c r="H3" t="s">
        <v>11</v>
      </c>
      <c r="I3">
        <v>2</v>
      </c>
      <c r="J3" s="28">
        <v>15.45</v>
      </c>
      <c r="K3" s="28">
        <f t="shared" ref="K3:K8" si="1">I3*J3</f>
        <v>30.9</v>
      </c>
      <c r="N3" t="s">
        <v>11</v>
      </c>
      <c r="O3">
        <v>2</v>
      </c>
      <c r="P3" s="28">
        <v>15.45</v>
      </c>
      <c r="Q3" s="28">
        <f t="shared" ref="Q3:Q9" si="2">O3*P3</f>
        <v>30.9</v>
      </c>
      <c r="R3" s="66"/>
      <c r="S3" s="66"/>
      <c r="T3" s="66"/>
      <c r="U3" s="66"/>
    </row>
    <row r="4" spans="1:21" x14ac:dyDescent="0.2">
      <c r="B4" t="s">
        <v>14</v>
      </c>
      <c r="C4">
        <v>1</v>
      </c>
      <c r="D4" s="28">
        <v>37.5</v>
      </c>
      <c r="E4" s="28">
        <f t="shared" si="0"/>
        <v>37.5</v>
      </c>
      <c r="H4" t="s">
        <v>14</v>
      </c>
      <c r="I4">
        <v>1</v>
      </c>
      <c r="J4" s="28">
        <v>37.5</v>
      </c>
      <c r="K4" s="28">
        <f t="shared" si="1"/>
        <v>37.5</v>
      </c>
      <c r="N4" t="s">
        <v>14</v>
      </c>
      <c r="O4">
        <v>1</v>
      </c>
      <c r="P4" s="28">
        <v>37.5</v>
      </c>
      <c r="Q4" s="28">
        <f t="shared" si="2"/>
        <v>37.5</v>
      </c>
      <c r="R4" s="66"/>
      <c r="S4" s="66"/>
      <c r="T4" s="66"/>
      <c r="U4" s="66"/>
    </row>
    <row r="5" spans="1:21" x14ac:dyDescent="0.2">
      <c r="B5" t="s">
        <v>15</v>
      </c>
      <c r="C5">
        <v>1</v>
      </c>
      <c r="D5" s="28">
        <v>37.5</v>
      </c>
      <c r="E5" s="28">
        <f t="shared" si="0"/>
        <v>37.5</v>
      </c>
      <c r="H5" t="s">
        <v>15</v>
      </c>
      <c r="I5">
        <v>1</v>
      </c>
      <c r="J5" s="28">
        <v>37.5</v>
      </c>
      <c r="K5" s="28">
        <f t="shared" si="1"/>
        <v>37.5</v>
      </c>
      <c r="N5" t="s">
        <v>15</v>
      </c>
      <c r="O5">
        <v>1</v>
      </c>
      <c r="P5" s="28">
        <v>37.5</v>
      </c>
      <c r="Q5" s="28">
        <f t="shared" si="2"/>
        <v>37.5</v>
      </c>
      <c r="R5" s="66"/>
      <c r="S5" s="66"/>
      <c r="T5" s="66"/>
      <c r="U5" s="66"/>
    </row>
    <row r="6" spans="1:21" x14ac:dyDescent="0.2">
      <c r="B6" t="s">
        <v>16</v>
      </c>
      <c r="C6">
        <v>2</v>
      </c>
      <c r="D6" s="28">
        <v>36</v>
      </c>
      <c r="E6" s="28">
        <f t="shared" si="0"/>
        <v>72</v>
      </c>
      <c r="H6" t="s">
        <v>16</v>
      </c>
      <c r="I6">
        <v>4</v>
      </c>
      <c r="J6" s="28">
        <v>36</v>
      </c>
      <c r="K6" s="28">
        <f t="shared" si="1"/>
        <v>144</v>
      </c>
      <c r="N6" t="s">
        <v>16</v>
      </c>
      <c r="O6">
        <v>4</v>
      </c>
      <c r="P6" s="28">
        <v>36</v>
      </c>
      <c r="Q6" s="28">
        <f t="shared" si="2"/>
        <v>144</v>
      </c>
      <c r="R6" s="66"/>
      <c r="S6" s="66"/>
      <c r="T6" s="66"/>
      <c r="U6" s="66"/>
    </row>
    <row r="7" spans="1:21" ht="16" thickBot="1" x14ac:dyDescent="0.25">
      <c r="B7" t="s">
        <v>17</v>
      </c>
      <c r="C7">
        <v>2</v>
      </c>
      <c r="D7" s="28">
        <v>36</v>
      </c>
      <c r="E7" s="28">
        <f t="shared" si="0"/>
        <v>72</v>
      </c>
      <c r="H7" t="s">
        <v>18</v>
      </c>
      <c r="I7">
        <v>2</v>
      </c>
      <c r="J7" s="28">
        <v>36</v>
      </c>
      <c r="K7" s="28">
        <f t="shared" si="1"/>
        <v>72</v>
      </c>
      <c r="N7" t="s">
        <v>18</v>
      </c>
      <c r="O7">
        <v>2</v>
      </c>
      <c r="P7" s="28">
        <v>36</v>
      </c>
      <c r="Q7" s="28">
        <f t="shared" si="2"/>
        <v>72</v>
      </c>
      <c r="R7" s="66"/>
      <c r="S7" s="66"/>
      <c r="T7" s="66"/>
      <c r="U7" s="66"/>
    </row>
    <row r="8" spans="1:21" ht="28" customHeight="1" thickBot="1" x14ac:dyDescent="0.25">
      <c r="B8" s="35" t="s">
        <v>19</v>
      </c>
      <c r="C8" s="36">
        <v>24</v>
      </c>
      <c r="D8" s="67" t="s">
        <v>20</v>
      </c>
      <c r="E8" s="68"/>
      <c r="H8" t="s">
        <v>21</v>
      </c>
      <c r="I8">
        <v>2</v>
      </c>
      <c r="J8" s="28">
        <v>36</v>
      </c>
      <c r="K8" s="28">
        <f t="shared" si="1"/>
        <v>72</v>
      </c>
      <c r="N8" t="s">
        <v>21</v>
      </c>
      <c r="O8">
        <v>1</v>
      </c>
      <c r="P8" s="28">
        <v>36</v>
      </c>
      <c r="Q8" s="28">
        <f t="shared" si="2"/>
        <v>36</v>
      </c>
      <c r="R8" s="66"/>
      <c r="S8" s="66"/>
      <c r="T8" s="66"/>
      <c r="U8" s="66"/>
    </row>
    <row r="9" spans="1:21" ht="16" thickBot="1" x14ac:dyDescent="0.25">
      <c r="B9" s="46" t="s">
        <v>22</v>
      </c>
      <c r="C9" s="47">
        <f>E9/C8</f>
        <v>22.214583333333334</v>
      </c>
      <c r="D9" s="47" t="s">
        <v>23</v>
      </c>
      <c r="E9" s="47">
        <f>SUM(E2:E7)</f>
        <v>533.15</v>
      </c>
      <c r="H9" s="35" t="s">
        <v>24</v>
      </c>
      <c r="I9" s="36">
        <f>12*4</f>
        <v>48</v>
      </c>
      <c r="J9" s="69" t="s">
        <v>25</v>
      </c>
      <c r="K9" s="70"/>
      <c r="N9" t="s">
        <v>26</v>
      </c>
      <c r="O9">
        <v>1</v>
      </c>
      <c r="P9" s="28">
        <v>36</v>
      </c>
      <c r="Q9" s="28">
        <f t="shared" si="2"/>
        <v>36</v>
      </c>
    </row>
    <row r="10" spans="1:21" ht="16" thickBot="1" x14ac:dyDescent="0.25">
      <c r="B10" s="45" t="s">
        <v>27</v>
      </c>
      <c r="C10" s="45">
        <f>200*0.25</f>
        <v>50</v>
      </c>
      <c r="D10" s="64" t="s">
        <v>28</v>
      </c>
      <c r="E10" s="64"/>
      <c r="H10" s="46" t="s">
        <v>29</v>
      </c>
      <c r="I10" s="47">
        <f>K10/I9</f>
        <v>17.540624999999999</v>
      </c>
      <c r="J10" s="47" t="s">
        <v>23</v>
      </c>
      <c r="K10" s="47">
        <f>SUM(K2:K8)</f>
        <v>841.94999999999993</v>
      </c>
      <c r="N10" s="35" t="s">
        <v>30</v>
      </c>
      <c r="O10" s="36">
        <v>48</v>
      </c>
      <c r="P10" s="69" t="s">
        <v>25</v>
      </c>
      <c r="Q10" s="70"/>
    </row>
    <row r="11" spans="1:21" x14ac:dyDescent="0.2">
      <c r="B11" s="62" t="s">
        <v>31</v>
      </c>
      <c r="C11" s="62"/>
      <c r="D11" s="63">
        <f>E9/160</f>
        <v>3.3321874999999999</v>
      </c>
      <c r="E11" s="63"/>
      <c r="H11" s="45" t="s">
        <v>32</v>
      </c>
      <c r="I11" s="45">
        <v>200</v>
      </c>
      <c r="J11" s="64" t="s">
        <v>28</v>
      </c>
      <c r="K11" s="64"/>
      <c r="N11" s="46" t="s">
        <v>29</v>
      </c>
      <c r="O11" s="47">
        <f>Q11/O10</f>
        <v>17.540624999999999</v>
      </c>
      <c r="P11" s="47" t="s">
        <v>23</v>
      </c>
      <c r="Q11" s="47">
        <f>SUM(Q2:Q9)</f>
        <v>841.94999999999993</v>
      </c>
    </row>
    <row r="12" spans="1:21" x14ac:dyDescent="0.2">
      <c r="D12" s="44"/>
      <c r="E12" s="44"/>
      <c r="H12" s="62" t="s">
        <v>31</v>
      </c>
      <c r="I12" s="62"/>
      <c r="J12" s="63">
        <f>K10/160</f>
        <v>5.2621874999999996</v>
      </c>
      <c r="K12" s="63"/>
      <c r="N12" s="45" t="s">
        <v>32</v>
      </c>
      <c r="O12" s="45">
        <v>200</v>
      </c>
      <c r="P12" s="64" t="s">
        <v>28</v>
      </c>
      <c r="Q12" s="64"/>
    </row>
    <row r="13" spans="1:21" ht="15" customHeight="1" x14ac:dyDescent="0.2">
      <c r="N13" s="62" t="s">
        <v>31</v>
      </c>
      <c r="O13" s="62"/>
      <c r="P13" s="63">
        <f>Q11/160</f>
        <v>5.2621874999999996</v>
      </c>
      <c r="Q13" s="63"/>
    </row>
    <row r="14" spans="1:21" ht="15" customHeight="1" x14ac:dyDescent="0.2">
      <c r="N14" s="52"/>
      <c r="O14" s="52"/>
      <c r="P14" s="53"/>
      <c r="Q14" s="53"/>
    </row>
    <row r="15" spans="1:21" ht="32" x14ac:dyDescent="0.2">
      <c r="A15" s="48" t="s">
        <v>33</v>
      </c>
      <c r="B15" s="71" t="s">
        <v>34</v>
      </c>
      <c r="C15" s="71"/>
      <c r="D15" s="71"/>
      <c r="E15" s="71"/>
      <c r="G15" s="48" t="s">
        <v>33</v>
      </c>
      <c r="H15" t="s">
        <v>35</v>
      </c>
      <c r="I15">
        <v>2</v>
      </c>
      <c r="J15" s="28">
        <v>98</v>
      </c>
      <c r="K15" s="28">
        <f>I15*J15</f>
        <v>196</v>
      </c>
      <c r="M15" s="48" t="s">
        <v>33</v>
      </c>
      <c r="N15" t="s">
        <v>38</v>
      </c>
      <c r="O15">
        <v>1</v>
      </c>
      <c r="P15" s="28">
        <v>149.35</v>
      </c>
      <c r="Q15" s="28">
        <f>O15*P15</f>
        <v>149.35</v>
      </c>
    </row>
    <row r="16" spans="1:21" ht="65" thickBot="1" x14ac:dyDescent="0.25">
      <c r="B16" s="71"/>
      <c r="C16" s="71"/>
      <c r="D16" s="71"/>
      <c r="E16" s="71"/>
      <c r="G16" s="22" t="s">
        <v>36</v>
      </c>
      <c r="H16" t="s">
        <v>37</v>
      </c>
      <c r="I16">
        <v>2</v>
      </c>
      <c r="J16" s="28">
        <v>18.95</v>
      </c>
      <c r="K16" s="28">
        <f t="shared" ref="K16:K18" si="3">I16*J16</f>
        <v>37.9</v>
      </c>
      <c r="M16" s="22" t="s">
        <v>36</v>
      </c>
      <c r="N16" t="s">
        <v>39</v>
      </c>
      <c r="O16">
        <v>1</v>
      </c>
      <c r="P16" s="28">
        <v>36</v>
      </c>
      <c r="Q16" s="28">
        <f>O16*P16</f>
        <v>36</v>
      </c>
    </row>
    <row r="17" spans="1:17" ht="16" thickBot="1" x14ac:dyDescent="0.25">
      <c r="B17" s="71"/>
      <c r="C17" s="71"/>
      <c r="D17" s="71"/>
      <c r="E17" s="71"/>
      <c r="H17" t="s">
        <v>38</v>
      </c>
      <c r="I17">
        <v>2</v>
      </c>
      <c r="J17" s="28">
        <v>149.35</v>
      </c>
      <c r="K17" s="28">
        <f t="shared" si="3"/>
        <v>298.7</v>
      </c>
      <c r="N17" s="35" t="s">
        <v>30</v>
      </c>
      <c r="O17" s="36">
        <v>12</v>
      </c>
      <c r="P17" s="69"/>
      <c r="Q17" s="70"/>
    </row>
    <row r="18" spans="1:17" ht="16" thickBot="1" x14ac:dyDescent="0.25">
      <c r="B18" s="71"/>
      <c r="C18" s="71"/>
      <c r="D18" s="71"/>
      <c r="E18" s="71"/>
      <c r="H18" t="s">
        <v>39</v>
      </c>
      <c r="I18">
        <v>2</v>
      </c>
      <c r="J18" s="28">
        <v>36</v>
      </c>
      <c r="K18" s="28">
        <f t="shared" si="3"/>
        <v>72</v>
      </c>
      <c r="N18" s="46" t="s">
        <v>29</v>
      </c>
      <c r="O18" s="47">
        <f>Q18/O17</f>
        <v>15.445833333333333</v>
      </c>
      <c r="P18" s="47" t="s">
        <v>23</v>
      </c>
      <c r="Q18" s="47">
        <f>SUM(Q15:Q16)</f>
        <v>185.35</v>
      </c>
    </row>
    <row r="19" spans="1:17" ht="16" thickBot="1" x14ac:dyDescent="0.25">
      <c r="B19" s="71"/>
      <c r="C19" s="71"/>
      <c r="D19" s="71"/>
      <c r="E19" s="71"/>
      <c r="H19" s="35" t="s">
        <v>24</v>
      </c>
      <c r="I19" s="36">
        <f>12*4</f>
        <v>48</v>
      </c>
      <c r="J19" s="69" t="s">
        <v>40</v>
      </c>
      <c r="K19" s="70"/>
      <c r="N19" s="45" t="s">
        <v>32</v>
      </c>
      <c r="O19" s="45">
        <v>200</v>
      </c>
      <c r="P19" s="64" t="s">
        <v>28</v>
      </c>
      <c r="Q19" s="64"/>
    </row>
    <row r="20" spans="1:17" x14ac:dyDescent="0.2">
      <c r="B20" s="71"/>
      <c r="C20" s="71"/>
      <c r="D20" s="71"/>
      <c r="E20" s="71"/>
      <c r="H20" s="46" t="s">
        <v>29</v>
      </c>
      <c r="I20" s="47">
        <f>K20/I19</f>
        <v>12.595833333333333</v>
      </c>
      <c r="J20" s="47" t="s">
        <v>23</v>
      </c>
      <c r="K20" s="47">
        <f>SUM(K15:K18)</f>
        <v>604.6</v>
      </c>
      <c r="N20" s="62" t="s">
        <v>31</v>
      </c>
      <c r="O20" s="62"/>
      <c r="P20" s="63">
        <f>Q18/160</f>
        <v>1.1584375</v>
      </c>
      <c r="Q20" s="63"/>
    </row>
    <row r="21" spans="1:17" x14ac:dyDescent="0.2">
      <c r="B21" s="71"/>
      <c r="C21" s="71"/>
      <c r="D21" s="71"/>
      <c r="E21" s="71"/>
      <c r="H21" s="45" t="s">
        <v>32</v>
      </c>
      <c r="I21" s="45">
        <v>200</v>
      </c>
      <c r="J21" s="64" t="s">
        <v>28</v>
      </c>
      <c r="K21" s="64"/>
    </row>
    <row r="22" spans="1:17" x14ac:dyDescent="0.2">
      <c r="B22" s="55"/>
      <c r="C22" s="55"/>
      <c r="D22" s="55"/>
      <c r="E22" s="55"/>
      <c r="H22" s="62" t="s">
        <v>31</v>
      </c>
      <c r="I22" s="62"/>
      <c r="J22" s="63">
        <f>K20/160</f>
        <v>3.7787500000000001</v>
      </c>
      <c r="K22" s="63"/>
    </row>
    <row r="24" spans="1:17" s="25" customFormat="1" x14ac:dyDescent="0.2">
      <c r="A24" s="24" t="s">
        <v>41</v>
      </c>
      <c r="B24" s="25" t="s">
        <v>42</v>
      </c>
      <c r="C24" s="25">
        <v>50</v>
      </c>
      <c r="D24" s="54">
        <v>15</v>
      </c>
      <c r="E24" s="54">
        <f>C24*D24</f>
        <v>750</v>
      </c>
      <c r="F24" s="40"/>
      <c r="G24" s="24" t="s">
        <v>41</v>
      </c>
      <c r="H24" s="25" t="s">
        <v>42</v>
      </c>
      <c r="I24" s="25">
        <v>200</v>
      </c>
      <c r="J24" s="54">
        <v>15</v>
      </c>
      <c r="K24" s="54">
        <f>I24*J24</f>
        <v>3000</v>
      </c>
      <c r="L24" s="40"/>
      <c r="M24" s="24" t="s">
        <v>41</v>
      </c>
      <c r="N24" s="25" t="s">
        <v>42</v>
      </c>
      <c r="O24" s="25">
        <v>200</v>
      </c>
      <c r="P24" s="54">
        <v>15</v>
      </c>
      <c r="Q24" s="54">
        <f>O24*P24</f>
        <v>3000</v>
      </c>
    </row>
    <row r="26" spans="1:17" ht="32" x14ac:dyDescent="0.2">
      <c r="A26" s="48" t="s">
        <v>43</v>
      </c>
      <c r="B26" t="s">
        <v>8</v>
      </c>
      <c r="C26">
        <v>3</v>
      </c>
      <c r="D26" s="28">
        <v>149.35</v>
      </c>
      <c r="E26" s="28">
        <f>C26*D26</f>
        <v>448.04999999999995</v>
      </c>
      <c r="G26" s="48" t="s">
        <v>43</v>
      </c>
      <c r="H26" t="s">
        <v>8</v>
      </c>
      <c r="I26">
        <v>3</v>
      </c>
      <c r="J26" s="28">
        <v>149.35</v>
      </c>
      <c r="K26" s="28">
        <f>I26*J26</f>
        <v>448.04999999999995</v>
      </c>
      <c r="M26" s="48" t="s">
        <v>44</v>
      </c>
      <c r="N26" t="s">
        <v>8</v>
      </c>
      <c r="O26">
        <v>3</v>
      </c>
      <c r="P26" s="28">
        <v>149.35</v>
      </c>
      <c r="Q26" s="28">
        <f>O26*P26</f>
        <v>448.04999999999995</v>
      </c>
    </row>
    <row r="27" spans="1:17" x14ac:dyDescent="0.2">
      <c r="A27"/>
      <c r="B27" t="s">
        <v>11</v>
      </c>
      <c r="C27">
        <v>2</v>
      </c>
      <c r="D27" s="28">
        <v>15.45</v>
      </c>
      <c r="E27" s="28">
        <f t="shared" ref="E27:E33" si="4">C27*D27</f>
        <v>30.9</v>
      </c>
      <c r="G27" s="26" t="s">
        <v>45</v>
      </c>
      <c r="H27" t="s">
        <v>11</v>
      </c>
      <c r="I27">
        <v>2</v>
      </c>
      <c r="J27" s="28">
        <v>15.45</v>
      </c>
      <c r="K27" s="28">
        <f t="shared" ref="K27:K33" si="5">I27*J27</f>
        <v>30.9</v>
      </c>
      <c r="N27" t="s">
        <v>11</v>
      </c>
      <c r="O27">
        <v>2</v>
      </c>
      <c r="P27" s="28">
        <v>15.45</v>
      </c>
      <c r="Q27" s="28">
        <f t="shared" ref="Q27:Q34" si="6">O27*P27</f>
        <v>30.9</v>
      </c>
    </row>
    <row r="28" spans="1:17" x14ac:dyDescent="0.2">
      <c r="B28" t="s">
        <v>14</v>
      </c>
      <c r="C28">
        <v>2</v>
      </c>
      <c r="D28" s="28">
        <v>37.5</v>
      </c>
      <c r="E28" s="28">
        <f t="shared" si="4"/>
        <v>75</v>
      </c>
      <c r="G28" s="27">
        <v>0.625</v>
      </c>
      <c r="H28" t="s">
        <v>14</v>
      </c>
      <c r="I28">
        <v>2</v>
      </c>
      <c r="J28" s="28">
        <v>37.5</v>
      </c>
      <c r="K28" s="28">
        <f t="shared" si="5"/>
        <v>75</v>
      </c>
      <c r="N28" t="s">
        <v>14</v>
      </c>
      <c r="O28">
        <v>2</v>
      </c>
      <c r="P28" s="28">
        <v>37.5</v>
      </c>
      <c r="Q28" s="28">
        <f t="shared" si="6"/>
        <v>75</v>
      </c>
    </row>
    <row r="29" spans="1:17" x14ac:dyDescent="0.2">
      <c r="B29" t="s">
        <v>48</v>
      </c>
      <c r="C29">
        <v>2</v>
      </c>
      <c r="D29" s="28">
        <v>37.5</v>
      </c>
      <c r="E29" s="28">
        <f t="shared" si="4"/>
        <v>75</v>
      </c>
      <c r="H29" t="s">
        <v>48</v>
      </c>
      <c r="I29">
        <v>2</v>
      </c>
      <c r="J29" s="28">
        <v>37.5</v>
      </c>
      <c r="K29" s="28">
        <f t="shared" si="5"/>
        <v>75</v>
      </c>
      <c r="N29" t="s">
        <v>48</v>
      </c>
      <c r="O29">
        <v>2</v>
      </c>
      <c r="P29" s="28">
        <v>37.5</v>
      </c>
      <c r="Q29" s="28">
        <f t="shared" si="6"/>
        <v>75</v>
      </c>
    </row>
    <row r="30" spans="1:17" x14ac:dyDescent="0.2">
      <c r="B30" t="s">
        <v>49</v>
      </c>
      <c r="C30">
        <v>4</v>
      </c>
      <c r="D30" s="28">
        <v>54</v>
      </c>
      <c r="E30" s="28">
        <f t="shared" si="4"/>
        <v>216</v>
      </c>
      <c r="H30" t="s">
        <v>49</v>
      </c>
      <c r="I30">
        <v>4</v>
      </c>
      <c r="J30" s="28">
        <v>54</v>
      </c>
      <c r="K30" s="28">
        <f t="shared" si="5"/>
        <v>216</v>
      </c>
      <c r="N30" t="s">
        <v>49</v>
      </c>
      <c r="O30">
        <v>4</v>
      </c>
      <c r="P30" s="28">
        <v>54</v>
      </c>
      <c r="Q30" s="28">
        <f t="shared" si="6"/>
        <v>216</v>
      </c>
    </row>
    <row r="31" spans="1:17" x14ac:dyDescent="0.2">
      <c r="B31" t="s">
        <v>50</v>
      </c>
      <c r="C31">
        <v>4</v>
      </c>
      <c r="D31" s="28">
        <v>98</v>
      </c>
      <c r="E31" s="28">
        <f t="shared" si="4"/>
        <v>392</v>
      </c>
      <c r="H31" t="s">
        <v>50</v>
      </c>
      <c r="I31">
        <v>4</v>
      </c>
      <c r="J31" s="28">
        <v>98</v>
      </c>
      <c r="K31" s="28">
        <f t="shared" si="5"/>
        <v>392</v>
      </c>
      <c r="N31" t="s">
        <v>50</v>
      </c>
      <c r="O31">
        <v>4</v>
      </c>
      <c r="P31" s="28">
        <v>98</v>
      </c>
      <c r="Q31" s="28">
        <f t="shared" si="6"/>
        <v>392</v>
      </c>
    </row>
    <row r="32" spans="1:17" x14ac:dyDescent="0.2">
      <c r="B32" t="s">
        <v>16</v>
      </c>
      <c r="C32">
        <v>4</v>
      </c>
      <c r="D32" s="28">
        <v>36</v>
      </c>
      <c r="E32" s="28">
        <f t="shared" si="4"/>
        <v>144</v>
      </c>
      <c r="H32" t="s">
        <v>16</v>
      </c>
      <c r="I32">
        <v>4</v>
      </c>
      <c r="J32" s="28">
        <v>36</v>
      </c>
      <c r="K32" s="28">
        <f t="shared" si="5"/>
        <v>144</v>
      </c>
      <c r="N32" t="s">
        <v>16</v>
      </c>
      <c r="O32">
        <v>4</v>
      </c>
      <c r="P32" s="28">
        <v>36</v>
      </c>
      <c r="Q32" s="28">
        <f t="shared" si="6"/>
        <v>144</v>
      </c>
    </row>
    <row r="33" spans="1:17" ht="16" thickBot="1" x14ac:dyDescent="0.25">
      <c r="B33" t="s">
        <v>51</v>
      </c>
      <c r="C33">
        <v>4</v>
      </c>
      <c r="D33" s="28">
        <v>60</v>
      </c>
      <c r="E33" s="28">
        <f t="shared" si="4"/>
        <v>240</v>
      </c>
      <c r="H33" t="s">
        <v>51</v>
      </c>
      <c r="I33">
        <v>4</v>
      </c>
      <c r="J33" s="28">
        <v>60</v>
      </c>
      <c r="K33" s="28">
        <f t="shared" si="5"/>
        <v>240</v>
      </c>
      <c r="N33" t="s">
        <v>51</v>
      </c>
      <c r="O33">
        <v>2</v>
      </c>
      <c r="P33" s="28">
        <v>60</v>
      </c>
      <c r="Q33" s="28">
        <f t="shared" si="6"/>
        <v>120</v>
      </c>
    </row>
    <row r="34" spans="1:17" ht="29" customHeight="1" thickBot="1" x14ac:dyDescent="0.25">
      <c r="B34" s="42" t="s">
        <v>19</v>
      </c>
      <c r="C34" s="43">
        <f>12*4</f>
        <v>48</v>
      </c>
      <c r="D34" s="67" t="s">
        <v>20</v>
      </c>
      <c r="E34" s="68"/>
      <c r="H34" s="42" t="s">
        <v>19</v>
      </c>
      <c r="I34" s="43">
        <f>12*4</f>
        <v>48</v>
      </c>
      <c r="J34" s="67" t="s">
        <v>20</v>
      </c>
      <c r="K34" s="68"/>
      <c r="N34" t="s">
        <v>52</v>
      </c>
      <c r="O34">
        <v>2</v>
      </c>
      <c r="P34" s="28">
        <v>36</v>
      </c>
      <c r="Q34" s="28">
        <f t="shared" si="6"/>
        <v>72</v>
      </c>
    </row>
    <row r="35" spans="1:17" ht="29" customHeight="1" thickBot="1" x14ac:dyDescent="0.25">
      <c r="B35" s="46" t="s">
        <v>29</v>
      </c>
      <c r="C35" s="47">
        <f>E35/C34</f>
        <v>33.769791666666663</v>
      </c>
      <c r="D35" s="47" t="s">
        <v>23</v>
      </c>
      <c r="E35" s="47">
        <f>SUM(E26:E33)</f>
        <v>1620.9499999999998</v>
      </c>
      <c r="H35" s="46" t="s">
        <v>29</v>
      </c>
      <c r="I35" s="47">
        <f>K35/I34</f>
        <v>33.769791666666663</v>
      </c>
      <c r="J35" s="47" t="s">
        <v>23</v>
      </c>
      <c r="K35" s="47">
        <f>SUM(K26:K33)</f>
        <v>1620.9499999999998</v>
      </c>
      <c r="N35" s="42" t="s">
        <v>19</v>
      </c>
      <c r="O35" s="43">
        <f>12*4</f>
        <v>48</v>
      </c>
      <c r="P35" s="67" t="s">
        <v>20</v>
      </c>
      <c r="Q35" s="68"/>
    </row>
    <row r="36" spans="1:17" ht="18" customHeight="1" x14ac:dyDescent="0.2">
      <c r="B36" s="45" t="s">
        <v>32</v>
      </c>
      <c r="C36" s="45">
        <v>200</v>
      </c>
      <c r="D36" s="64" t="s">
        <v>28</v>
      </c>
      <c r="E36" s="64"/>
      <c r="H36" s="45" t="s">
        <v>32</v>
      </c>
      <c r="I36" s="45">
        <v>200</v>
      </c>
      <c r="J36" s="64" t="s">
        <v>28</v>
      </c>
      <c r="K36" s="64"/>
      <c r="N36" s="46" t="s">
        <v>29</v>
      </c>
      <c r="O36" s="47">
        <f>Q36/O35</f>
        <v>32.769791666666663</v>
      </c>
      <c r="P36" s="47" t="s">
        <v>23</v>
      </c>
      <c r="Q36" s="47">
        <f>SUM(Q26:Q34)</f>
        <v>1572.9499999999998</v>
      </c>
    </row>
    <row r="37" spans="1:17" ht="17" customHeight="1" x14ac:dyDescent="0.2">
      <c r="B37" s="62" t="s">
        <v>31</v>
      </c>
      <c r="C37" s="62"/>
      <c r="D37" s="63">
        <f>E35/160</f>
        <v>10.130937499999998</v>
      </c>
      <c r="E37" s="63"/>
      <c r="H37" s="62" t="s">
        <v>31</v>
      </c>
      <c r="I37" s="62"/>
      <c r="J37" s="63">
        <f>K35/160</f>
        <v>10.130937499999998</v>
      </c>
      <c r="K37" s="63"/>
      <c r="N37" s="45" t="s">
        <v>32</v>
      </c>
      <c r="O37" s="45">
        <v>200</v>
      </c>
      <c r="P37" s="64" t="s">
        <v>28</v>
      </c>
      <c r="Q37" s="64"/>
    </row>
    <row r="38" spans="1:17" ht="15" customHeight="1" x14ac:dyDescent="0.2">
      <c r="A38" s="30"/>
      <c r="B38" s="31"/>
      <c r="C38" s="31"/>
      <c r="D38" s="32"/>
      <c r="E38" s="32"/>
      <c r="F38" s="41"/>
      <c r="G38" s="30"/>
      <c r="H38" s="31"/>
      <c r="I38" s="31"/>
      <c r="J38" s="32"/>
      <c r="K38" s="32"/>
      <c r="L38" s="41"/>
      <c r="M38" s="30"/>
      <c r="N38" s="62" t="s">
        <v>31</v>
      </c>
      <c r="O38" s="62"/>
      <c r="P38" s="63">
        <f>Q36/160</f>
        <v>9.8309374999999992</v>
      </c>
      <c r="Q38" s="63"/>
    </row>
    <row r="39" spans="1:17" ht="15" customHeight="1" x14ac:dyDescent="0.2">
      <c r="A39" s="1" t="s">
        <v>53</v>
      </c>
      <c r="E39" s="28">
        <f>SUM(E35,E9,E24)</f>
        <v>2904.1</v>
      </c>
      <c r="K39" s="28">
        <f>SUM(K35,K10,K24,K20)</f>
        <v>6067.5</v>
      </c>
      <c r="Q39" s="28">
        <f>SUM(Q36,Q24,Q18,Q11)</f>
        <v>5600.25</v>
      </c>
    </row>
    <row r="40" spans="1:17" ht="15" customHeight="1" x14ac:dyDescent="0.2">
      <c r="A40" s="1" t="s">
        <v>54</v>
      </c>
      <c r="E40" s="28">
        <f>E39*0.13</f>
        <v>377.53300000000002</v>
      </c>
      <c r="K40" s="28">
        <f>K39*0.13</f>
        <v>788.77499999999998</v>
      </c>
      <c r="Q40" s="28">
        <f>Q39*0.13</f>
        <v>728.03250000000003</v>
      </c>
    </row>
    <row r="41" spans="1:17" ht="15" customHeight="1" x14ac:dyDescent="0.2">
      <c r="A41" s="1" t="s">
        <v>55</v>
      </c>
      <c r="E41" s="28">
        <f>E39+E40</f>
        <v>3281.6329999999998</v>
      </c>
      <c r="K41" s="28">
        <f>K39+K40</f>
        <v>6856.2749999999996</v>
      </c>
      <c r="Q41" s="28">
        <f>Q39+Q40</f>
        <v>6328.2825000000003</v>
      </c>
    </row>
    <row r="43" spans="1:17" ht="15" customHeight="1" thickBot="1" x14ac:dyDescent="0.25"/>
    <row r="44" spans="1:17" ht="15" customHeight="1" thickBot="1" x14ac:dyDescent="0.25">
      <c r="A44" s="33" t="s">
        <v>56</v>
      </c>
      <c r="B44" s="34">
        <f>SUM(E41,K41,Q41)</f>
        <v>16466.190500000001</v>
      </c>
      <c r="C44" s="73" t="s">
        <v>73</v>
      </c>
      <c r="D44" s="73"/>
    </row>
    <row r="45" spans="1:17" ht="15" customHeight="1" x14ac:dyDescent="0.2">
      <c r="A45" s="9" t="s">
        <v>58</v>
      </c>
      <c r="B45" s="9">
        <v>160</v>
      </c>
      <c r="C45" s="73"/>
      <c r="D45" s="73"/>
    </row>
    <row r="46" spans="1:17" ht="56" customHeight="1" x14ac:dyDescent="0.2">
      <c r="A46" s="57" t="s">
        <v>59</v>
      </c>
      <c r="B46" s="58">
        <f>B44/B45</f>
        <v>102.913690625</v>
      </c>
      <c r="C46" s="73"/>
      <c r="D46" s="73"/>
    </row>
    <row r="47" spans="1:17" ht="15" customHeight="1" x14ac:dyDescent="0.2">
      <c r="B47" s="56">
        <f>160-B46</f>
        <v>57.086309374999999</v>
      </c>
    </row>
  </sheetData>
  <mergeCells count="35">
    <mergeCell ref="D8:E8"/>
    <mergeCell ref="D34:E34"/>
    <mergeCell ref="J9:K9"/>
    <mergeCell ref="P10:Q10"/>
    <mergeCell ref="D10:E10"/>
    <mergeCell ref="J11:K11"/>
    <mergeCell ref="P12:Q12"/>
    <mergeCell ref="J19:K19"/>
    <mergeCell ref="J21:K21"/>
    <mergeCell ref="P17:Q17"/>
    <mergeCell ref="J34:K34"/>
    <mergeCell ref="P35:Q35"/>
    <mergeCell ref="B15:E21"/>
    <mergeCell ref="B11:C11"/>
    <mergeCell ref="D11:E11"/>
    <mergeCell ref="H12:I12"/>
    <mergeCell ref="J12:K12"/>
    <mergeCell ref="N13:O13"/>
    <mergeCell ref="P13:Q13"/>
    <mergeCell ref="C44:D46"/>
    <mergeCell ref="D36:E36"/>
    <mergeCell ref="B37:C37"/>
    <mergeCell ref="D37:E37"/>
    <mergeCell ref="J36:K36"/>
    <mergeCell ref="P37:Q37"/>
    <mergeCell ref="N38:O38"/>
    <mergeCell ref="P38:Q38"/>
    <mergeCell ref="H37:I37"/>
    <mergeCell ref="J37:K37"/>
    <mergeCell ref="R2:U8"/>
    <mergeCell ref="H22:I22"/>
    <mergeCell ref="J22:K22"/>
    <mergeCell ref="N20:O20"/>
    <mergeCell ref="P20:Q20"/>
    <mergeCell ref="P19:Q19"/>
  </mergeCells>
  <conditionalFormatting sqref="B47">
    <cfRule type="expression" dxfId="83" priority="13">
      <formula>$B$47&gt;0</formula>
    </cfRule>
  </conditionalFormatting>
  <conditionalFormatting sqref="D10:E10">
    <cfRule type="expression" dxfId="82" priority="33">
      <formula>$C$8&gt;=$C$10</formula>
    </cfRule>
    <cfRule type="expression" dxfId="81" priority="34">
      <formula>$C$10&gt;$C$8</formula>
    </cfRule>
  </conditionalFormatting>
  <conditionalFormatting sqref="D36:E36">
    <cfRule type="expression" dxfId="80" priority="21">
      <formula>$C$34&gt;=$C$36</formula>
    </cfRule>
    <cfRule type="expression" dxfId="79" priority="22">
      <formula>$C$36&gt;$C$34</formula>
    </cfRule>
  </conditionalFormatting>
  <conditionalFormatting sqref="E2:E7">
    <cfRule type="top10" dxfId="78" priority="5" stopIfTrue="1" rank="1"/>
  </conditionalFormatting>
  <conditionalFormatting sqref="E26:E33">
    <cfRule type="top10" dxfId="77" priority="4" stopIfTrue="1" rank="1"/>
  </conditionalFormatting>
  <conditionalFormatting sqref="J11:K11">
    <cfRule type="expression" dxfId="76" priority="31">
      <formula>$I$9&gt;=$I$11</formula>
    </cfRule>
    <cfRule type="expression" dxfId="75" priority="32">
      <formula>$I$11&gt;$I$9</formula>
    </cfRule>
  </conditionalFormatting>
  <conditionalFormatting sqref="J21:K21">
    <cfRule type="expression" dxfId="74" priority="27">
      <formula>$I$19&gt;=$I$21</formula>
    </cfRule>
    <cfRule type="expression" dxfId="73" priority="28">
      <formula>$I$21&gt;$I$19</formula>
    </cfRule>
  </conditionalFormatting>
  <conditionalFormatting sqref="J36:K36">
    <cfRule type="expression" dxfId="72" priority="19">
      <formula>$I$34&gt;=$I$36</formula>
    </cfRule>
    <cfRule type="expression" dxfId="71" priority="20">
      <formula>$I$36&gt;$I$34</formula>
    </cfRule>
  </conditionalFormatting>
  <conditionalFormatting sqref="K2:K8">
    <cfRule type="top10" dxfId="70" priority="9" rank="1"/>
    <cfRule type="top10" dxfId="69" priority="10" stopIfTrue="1" rank="1"/>
  </conditionalFormatting>
  <conditionalFormatting sqref="K15:K18">
    <cfRule type="top10" dxfId="68" priority="1" stopIfTrue="1" rank="1"/>
  </conditionalFormatting>
  <conditionalFormatting sqref="K26:K33">
    <cfRule type="top10" dxfId="67" priority="3" stopIfTrue="1" rank="1"/>
  </conditionalFormatting>
  <conditionalFormatting sqref="P12:Q12">
    <cfRule type="expression" dxfId="66" priority="29" stopIfTrue="1">
      <formula>$O$10&gt;=$O$12</formula>
    </cfRule>
    <cfRule type="expression" dxfId="65" priority="30">
      <formula>$O$12&gt;$O$10</formula>
    </cfRule>
  </conditionalFormatting>
  <conditionalFormatting sqref="P19:Q19">
    <cfRule type="expression" dxfId="64" priority="17" stopIfTrue="1">
      <formula>$O$17&gt;=$O$19</formula>
    </cfRule>
    <cfRule type="expression" dxfId="63" priority="18">
      <formula>$O$19&gt;$O$17</formula>
    </cfRule>
  </conditionalFormatting>
  <conditionalFormatting sqref="P37:Q37">
    <cfRule type="expression" dxfId="62" priority="15" stopIfTrue="1">
      <formula>$O$17&gt;=$O$19</formula>
    </cfRule>
    <cfRule type="expression" dxfId="61" priority="16">
      <formula>$O$19&gt;$O$17</formula>
    </cfRule>
  </conditionalFormatting>
  <conditionalFormatting sqref="Q2:Q9">
    <cfRule type="top10" dxfId="60" priority="7" stopIfTrue="1" rank="1"/>
  </conditionalFormatting>
  <conditionalFormatting sqref="Q15:Q16">
    <cfRule type="top10" dxfId="59" priority="2" stopIfTrue="1" rank="1"/>
  </conditionalFormatting>
  <conditionalFormatting sqref="Q26:Q34">
    <cfRule type="top10" dxfId="58" priority="8" stopIfTrue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B144-D7D4-4149-8DBA-594D720FD3C5}">
  <dimension ref="A1:U47"/>
  <sheetViews>
    <sheetView topLeftCell="A16" zoomScale="150" zoomScaleNormal="100" workbookViewId="0">
      <selection activeCell="B31" sqref="B31:E31"/>
    </sheetView>
  </sheetViews>
  <sheetFormatPr baseColWidth="10" defaultColWidth="8.83203125" defaultRowHeight="15" customHeight="1" x14ac:dyDescent="0.2"/>
  <cols>
    <col min="1" max="1" width="13.83203125" style="1" customWidth="1"/>
    <col min="2" max="2" width="34" customWidth="1"/>
    <col min="3" max="3" width="7.33203125" customWidth="1"/>
    <col min="4" max="4" width="12.83203125" style="28" customWidth="1"/>
    <col min="5" max="5" width="15.1640625" style="28" customWidth="1"/>
    <col min="6" max="6" width="1" style="40" customWidth="1"/>
    <col min="7" max="7" width="12.6640625" style="1" customWidth="1"/>
    <col min="8" max="8" width="35.5" bestFit="1" customWidth="1"/>
    <col min="9" max="9" width="9" customWidth="1"/>
    <col min="10" max="10" width="14.1640625" style="28" customWidth="1"/>
    <col min="11" max="11" width="13.33203125" style="28" customWidth="1"/>
    <col min="12" max="12" width="0.83203125" style="40" customWidth="1"/>
    <col min="13" max="13" width="11.5" style="1" customWidth="1"/>
    <col min="14" max="14" width="35.5" bestFit="1" customWidth="1"/>
    <col min="15" max="15" width="7.83203125" customWidth="1"/>
    <col min="16" max="16" width="13.83203125" style="28" customWidth="1"/>
    <col min="17" max="17" width="12.5" style="28" customWidth="1"/>
  </cols>
  <sheetData>
    <row r="1" spans="1:21" s="21" customFormat="1" x14ac:dyDescent="0.2">
      <c r="A1" s="21" t="s">
        <v>0</v>
      </c>
      <c r="B1" s="50" t="s">
        <v>1</v>
      </c>
      <c r="C1" s="21" t="s">
        <v>2</v>
      </c>
      <c r="D1" s="29" t="s">
        <v>3</v>
      </c>
      <c r="E1" s="29" t="s">
        <v>4</v>
      </c>
      <c r="F1" s="39"/>
      <c r="G1" s="21" t="s">
        <v>0</v>
      </c>
      <c r="H1" s="50" t="s">
        <v>5</v>
      </c>
      <c r="I1" s="21" t="s">
        <v>2</v>
      </c>
      <c r="J1" s="29" t="s">
        <v>3</v>
      </c>
      <c r="K1" s="29" t="s">
        <v>4</v>
      </c>
      <c r="L1" s="39"/>
      <c r="M1" s="21" t="s">
        <v>0</v>
      </c>
      <c r="N1" s="50" t="s">
        <v>6</v>
      </c>
      <c r="O1" s="21" t="s">
        <v>2</v>
      </c>
      <c r="P1" s="29" t="s">
        <v>3</v>
      </c>
      <c r="Q1" s="29" t="s">
        <v>4</v>
      </c>
    </row>
    <row r="2" spans="1:21" x14ac:dyDescent="0.2">
      <c r="A2" s="49" t="s">
        <v>7</v>
      </c>
      <c r="B2" t="s">
        <v>8</v>
      </c>
      <c r="C2">
        <v>2</v>
      </c>
      <c r="D2" s="28">
        <v>149.35</v>
      </c>
      <c r="E2" s="28">
        <f>C2*D2</f>
        <v>298.7</v>
      </c>
      <c r="G2" s="49" t="s">
        <v>7</v>
      </c>
      <c r="H2" t="s">
        <v>8</v>
      </c>
      <c r="I2">
        <v>3</v>
      </c>
      <c r="J2" s="28">
        <v>149.35</v>
      </c>
      <c r="K2" s="28">
        <f>I2*J2</f>
        <v>448.04999999999995</v>
      </c>
      <c r="M2" s="49" t="s">
        <v>7</v>
      </c>
      <c r="N2" t="s">
        <v>8</v>
      </c>
      <c r="O2">
        <v>3</v>
      </c>
      <c r="P2" s="28">
        <v>149.35</v>
      </c>
      <c r="Q2" s="28">
        <f>O2*P2</f>
        <v>448.04999999999995</v>
      </c>
      <c r="R2" s="65" t="s">
        <v>9</v>
      </c>
      <c r="S2" s="65"/>
      <c r="T2" s="65"/>
      <c r="U2" s="65"/>
    </row>
    <row r="3" spans="1:21" x14ac:dyDescent="0.2">
      <c r="A3" s="59" t="s">
        <v>10</v>
      </c>
      <c r="B3" t="s">
        <v>11</v>
      </c>
      <c r="C3">
        <v>1</v>
      </c>
      <c r="D3" s="28">
        <v>15.45</v>
      </c>
      <c r="E3" s="28">
        <f t="shared" ref="E3:E7" si="0">C3*D3</f>
        <v>15.45</v>
      </c>
      <c r="G3" s="59" t="s">
        <v>12</v>
      </c>
      <c r="H3" t="s">
        <v>11</v>
      </c>
      <c r="I3">
        <v>2</v>
      </c>
      <c r="J3" s="28">
        <v>15.45</v>
      </c>
      <c r="K3" s="28">
        <f t="shared" ref="K3:K8" si="1">I3*J3</f>
        <v>30.9</v>
      </c>
      <c r="M3" s="59" t="s">
        <v>12</v>
      </c>
      <c r="N3" t="s">
        <v>11</v>
      </c>
      <c r="O3">
        <v>2</v>
      </c>
      <c r="P3" s="28">
        <v>15.45</v>
      </c>
      <c r="Q3" s="28">
        <f t="shared" ref="Q3:Q9" si="2">O3*P3</f>
        <v>30.9</v>
      </c>
      <c r="R3" s="66"/>
      <c r="S3" s="66"/>
      <c r="T3" s="66"/>
      <c r="U3" s="66"/>
    </row>
    <row r="4" spans="1:21" x14ac:dyDescent="0.2">
      <c r="A4" s="59" t="s">
        <v>13</v>
      </c>
      <c r="B4" t="s">
        <v>14</v>
      </c>
      <c r="C4">
        <v>1</v>
      </c>
      <c r="D4" s="28">
        <v>37.5</v>
      </c>
      <c r="E4" s="28">
        <f t="shared" si="0"/>
        <v>37.5</v>
      </c>
      <c r="G4" s="60">
        <v>0.36458333333333331</v>
      </c>
      <c r="H4" t="s">
        <v>14</v>
      </c>
      <c r="I4">
        <v>1</v>
      </c>
      <c r="J4" s="28">
        <v>37.5</v>
      </c>
      <c r="K4" s="28">
        <f t="shared" si="1"/>
        <v>37.5</v>
      </c>
      <c r="M4" s="60">
        <v>0.36458333333333331</v>
      </c>
      <c r="N4" t="s">
        <v>14</v>
      </c>
      <c r="O4">
        <v>1</v>
      </c>
      <c r="P4" s="28">
        <v>37.5</v>
      </c>
      <c r="Q4" s="28">
        <f t="shared" si="2"/>
        <v>37.5</v>
      </c>
      <c r="R4" s="66"/>
      <c r="S4" s="66"/>
      <c r="T4" s="66"/>
      <c r="U4" s="66"/>
    </row>
    <row r="5" spans="1:21" x14ac:dyDescent="0.2">
      <c r="B5" t="s">
        <v>15</v>
      </c>
      <c r="D5" s="28">
        <v>37.5</v>
      </c>
      <c r="E5" s="28">
        <f t="shared" si="0"/>
        <v>0</v>
      </c>
      <c r="H5" t="s">
        <v>15</v>
      </c>
      <c r="J5" s="28">
        <v>37.5</v>
      </c>
      <c r="K5" s="28">
        <f t="shared" si="1"/>
        <v>0</v>
      </c>
      <c r="N5" t="s">
        <v>15</v>
      </c>
      <c r="P5" s="28">
        <v>37.5</v>
      </c>
      <c r="Q5" s="28">
        <f t="shared" si="2"/>
        <v>0</v>
      </c>
      <c r="R5" s="66"/>
      <c r="S5" s="66"/>
      <c r="T5" s="66"/>
      <c r="U5" s="66"/>
    </row>
    <row r="6" spans="1:21" x14ac:dyDescent="0.2">
      <c r="B6" t="s">
        <v>16</v>
      </c>
      <c r="C6">
        <v>4</v>
      </c>
      <c r="D6" s="28">
        <v>36</v>
      </c>
      <c r="E6" s="28">
        <f t="shared" si="0"/>
        <v>144</v>
      </c>
      <c r="H6" t="s">
        <v>16</v>
      </c>
      <c r="I6">
        <v>15</v>
      </c>
      <c r="J6" s="28">
        <v>36</v>
      </c>
      <c r="K6" s="28">
        <f t="shared" si="1"/>
        <v>540</v>
      </c>
      <c r="N6" t="s">
        <v>16</v>
      </c>
      <c r="O6">
        <v>15</v>
      </c>
      <c r="P6" s="28">
        <v>36</v>
      </c>
      <c r="Q6" s="28">
        <f t="shared" si="2"/>
        <v>540</v>
      </c>
      <c r="R6" s="66"/>
      <c r="S6" s="66"/>
      <c r="T6" s="66"/>
      <c r="U6" s="66"/>
    </row>
    <row r="7" spans="1:21" ht="16" thickBot="1" x14ac:dyDescent="0.25">
      <c r="B7" t="s">
        <v>17</v>
      </c>
      <c r="C7">
        <v>4</v>
      </c>
      <c r="D7" s="28">
        <v>36</v>
      </c>
      <c r="E7" s="28">
        <f t="shared" si="0"/>
        <v>144</v>
      </c>
      <c r="H7" t="s">
        <v>18</v>
      </c>
      <c r="I7">
        <v>8</v>
      </c>
      <c r="J7" s="28">
        <v>36</v>
      </c>
      <c r="K7" s="28">
        <f t="shared" si="1"/>
        <v>288</v>
      </c>
      <c r="N7" t="s">
        <v>18</v>
      </c>
      <c r="O7">
        <v>8</v>
      </c>
      <c r="P7" s="28">
        <v>36</v>
      </c>
      <c r="Q7" s="28">
        <f t="shared" si="2"/>
        <v>288</v>
      </c>
      <c r="R7" s="66"/>
      <c r="S7" s="66"/>
      <c r="T7" s="66"/>
      <c r="U7" s="66"/>
    </row>
    <row r="8" spans="1:21" ht="28" customHeight="1" thickBot="1" x14ac:dyDescent="0.25">
      <c r="B8" s="35" t="s">
        <v>19</v>
      </c>
      <c r="C8" s="36">
        <f>12*C7</f>
        <v>48</v>
      </c>
      <c r="D8" s="67" t="s">
        <v>20</v>
      </c>
      <c r="E8" s="68"/>
      <c r="H8" t="s">
        <v>21</v>
      </c>
      <c r="I8">
        <v>8</v>
      </c>
      <c r="J8" s="28">
        <v>36</v>
      </c>
      <c r="K8" s="28">
        <f t="shared" si="1"/>
        <v>288</v>
      </c>
      <c r="N8" t="s">
        <v>21</v>
      </c>
      <c r="O8">
        <v>4</v>
      </c>
      <c r="P8" s="28">
        <v>36</v>
      </c>
      <c r="Q8" s="28">
        <f t="shared" si="2"/>
        <v>144</v>
      </c>
      <c r="R8" s="66"/>
      <c r="S8" s="66"/>
      <c r="T8" s="66"/>
      <c r="U8" s="66"/>
    </row>
    <row r="9" spans="1:21" ht="16" thickBot="1" x14ac:dyDescent="0.25">
      <c r="B9" s="46" t="s">
        <v>22</v>
      </c>
      <c r="C9" s="47">
        <f>E9/C8</f>
        <v>13.326041666666667</v>
      </c>
      <c r="D9" s="47" t="s">
        <v>23</v>
      </c>
      <c r="E9" s="47">
        <f>SUM(E2:E7)</f>
        <v>639.65</v>
      </c>
      <c r="H9" s="35" t="s">
        <v>24</v>
      </c>
      <c r="I9" s="36">
        <f>12*I6</f>
        <v>180</v>
      </c>
      <c r="J9" s="69" t="s">
        <v>25</v>
      </c>
      <c r="K9" s="70"/>
      <c r="N9" t="s">
        <v>26</v>
      </c>
      <c r="O9">
        <v>4</v>
      </c>
      <c r="P9" s="28">
        <v>36</v>
      </c>
      <c r="Q9" s="28">
        <f t="shared" si="2"/>
        <v>144</v>
      </c>
    </row>
    <row r="10" spans="1:21" ht="16" thickBot="1" x14ac:dyDescent="0.25">
      <c r="B10" s="45" t="s">
        <v>27</v>
      </c>
      <c r="C10" s="45">
        <f>200*0.25</f>
        <v>50</v>
      </c>
      <c r="D10" s="64" t="s">
        <v>28</v>
      </c>
      <c r="E10" s="64"/>
      <c r="H10" s="46" t="s">
        <v>29</v>
      </c>
      <c r="I10" s="47">
        <f>K10/I9</f>
        <v>9.0691666666666659</v>
      </c>
      <c r="J10" s="47" t="s">
        <v>23</v>
      </c>
      <c r="K10" s="47">
        <f>SUM(K2:K8)</f>
        <v>1632.4499999999998</v>
      </c>
      <c r="N10" s="35" t="s">
        <v>30</v>
      </c>
      <c r="O10" s="36">
        <f>12*O6</f>
        <v>180</v>
      </c>
      <c r="P10" s="69" t="s">
        <v>25</v>
      </c>
      <c r="Q10" s="70"/>
    </row>
    <row r="11" spans="1:21" x14ac:dyDescent="0.2">
      <c r="B11" s="62" t="s">
        <v>31</v>
      </c>
      <c r="C11" s="62"/>
      <c r="D11" s="63">
        <f>E9/160</f>
        <v>3.9978124999999998</v>
      </c>
      <c r="E11" s="63"/>
      <c r="H11" s="45" t="s">
        <v>32</v>
      </c>
      <c r="I11" s="45">
        <v>200</v>
      </c>
      <c r="J11" s="64" t="s">
        <v>28</v>
      </c>
      <c r="K11" s="64"/>
      <c r="N11" s="46" t="s">
        <v>29</v>
      </c>
      <c r="O11" s="47">
        <f>Q11/O10</f>
        <v>9.0691666666666659</v>
      </c>
      <c r="P11" s="47" t="s">
        <v>23</v>
      </c>
      <c r="Q11" s="47">
        <f>SUM(Q2:Q9)</f>
        <v>1632.4499999999998</v>
      </c>
    </row>
    <row r="12" spans="1:21" x14ac:dyDescent="0.2">
      <c r="D12" s="44"/>
      <c r="E12" s="44"/>
      <c r="H12" s="62" t="s">
        <v>31</v>
      </c>
      <c r="I12" s="62"/>
      <c r="J12" s="63">
        <f>K10/160</f>
        <v>10.202812499999999</v>
      </c>
      <c r="K12" s="63"/>
      <c r="N12" s="45" t="s">
        <v>32</v>
      </c>
      <c r="O12" s="45">
        <v>200</v>
      </c>
      <c r="P12" s="64" t="s">
        <v>28</v>
      </c>
      <c r="Q12" s="64"/>
    </row>
    <row r="13" spans="1:21" ht="15" customHeight="1" x14ac:dyDescent="0.2">
      <c r="N13" s="62" t="s">
        <v>31</v>
      </c>
      <c r="O13" s="62"/>
      <c r="P13" s="63">
        <f>Q11/160</f>
        <v>10.202812499999999</v>
      </c>
      <c r="Q13" s="63"/>
    </row>
    <row r="14" spans="1:21" ht="15" customHeight="1" x14ac:dyDescent="0.2">
      <c r="N14" s="52"/>
      <c r="O14" s="52"/>
      <c r="P14" s="53"/>
      <c r="Q14" s="53"/>
    </row>
    <row r="15" spans="1:21" ht="32" x14ac:dyDescent="0.2">
      <c r="A15" s="48" t="s">
        <v>33</v>
      </c>
      <c r="B15" s="71" t="s">
        <v>34</v>
      </c>
      <c r="C15" s="71"/>
      <c r="D15" s="71"/>
      <c r="E15" s="71"/>
      <c r="G15" s="48" t="s">
        <v>33</v>
      </c>
      <c r="H15" t="s">
        <v>35</v>
      </c>
      <c r="I15">
        <v>4</v>
      </c>
      <c r="J15" s="28">
        <v>98</v>
      </c>
      <c r="K15" s="28">
        <f>I15*J15</f>
        <v>392</v>
      </c>
      <c r="M15" s="48" t="s">
        <v>33</v>
      </c>
      <c r="N15" t="s">
        <v>35</v>
      </c>
      <c r="O15">
        <v>4</v>
      </c>
      <c r="P15" s="28">
        <v>98</v>
      </c>
      <c r="Q15" s="28">
        <f>O15*P15</f>
        <v>392</v>
      </c>
    </row>
    <row r="16" spans="1:21" ht="64" x14ac:dyDescent="0.2">
      <c r="B16" s="71"/>
      <c r="C16" s="71"/>
      <c r="D16" s="71"/>
      <c r="E16" s="71"/>
      <c r="G16" s="22" t="s">
        <v>36</v>
      </c>
      <c r="H16" t="s">
        <v>37</v>
      </c>
      <c r="I16">
        <v>16</v>
      </c>
      <c r="J16" s="28">
        <v>18.95</v>
      </c>
      <c r="K16" s="28">
        <f t="shared" ref="K16:K18" si="3">I16*J16</f>
        <v>303.2</v>
      </c>
      <c r="M16" s="22" t="s">
        <v>36</v>
      </c>
      <c r="N16" t="s">
        <v>38</v>
      </c>
      <c r="O16">
        <v>2</v>
      </c>
      <c r="P16" s="28">
        <v>149.35</v>
      </c>
      <c r="Q16" s="28">
        <f>O16*P16</f>
        <v>298.7</v>
      </c>
    </row>
    <row r="17" spans="1:17" x14ac:dyDescent="0.2">
      <c r="B17" s="71"/>
      <c r="C17" s="71"/>
      <c r="D17" s="71"/>
      <c r="E17" s="71"/>
      <c r="H17" t="s">
        <v>38</v>
      </c>
      <c r="I17">
        <v>2</v>
      </c>
      <c r="J17" s="28">
        <v>149.35</v>
      </c>
      <c r="K17" s="28">
        <f t="shared" si="3"/>
        <v>298.7</v>
      </c>
      <c r="N17" t="s">
        <v>37</v>
      </c>
      <c r="O17">
        <v>16</v>
      </c>
      <c r="P17" s="28">
        <v>18.95</v>
      </c>
      <c r="Q17" s="28">
        <f t="shared" ref="Q17" si="4">O17*P17</f>
        <v>303.2</v>
      </c>
    </row>
    <row r="18" spans="1:17" ht="16" thickBot="1" x14ac:dyDescent="0.25">
      <c r="B18" s="71"/>
      <c r="C18" s="71"/>
      <c r="D18" s="71"/>
      <c r="E18" s="71"/>
      <c r="H18" t="s">
        <v>39</v>
      </c>
      <c r="I18">
        <v>10</v>
      </c>
      <c r="J18" s="28">
        <v>36</v>
      </c>
      <c r="K18" s="28">
        <f t="shared" si="3"/>
        <v>360</v>
      </c>
      <c r="N18" t="s">
        <v>39</v>
      </c>
      <c r="O18">
        <v>10</v>
      </c>
      <c r="P18" s="28">
        <v>36</v>
      </c>
      <c r="Q18" s="28">
        <f>O18*P18</f>
        <v>360</v>
      </c>
    </row>
    <row r="19" spans="1:17" ht="16" thickBot="1" x14ac:dyDescent="0.25">
      <c r="B19" s="71"/>
      <c r="C19" s="71"/>
      <c r="D19" s="71"/>
      <c r="E19" s="71"/>
      <c r="H19" s="35" t="s">
        <v>24</v>
      </c>
      <c r="I19" s="36">
        <f>12*I16</f>
        <v>192</v>
      </c>
      <c r="J19" s="69" t="s">
        <v>40</v>
      </c>
      <c r="K19" s="70"/>
      <c r="N19" s="35" t="s">
        <v>30</v>
      </c>
      <c r="O19" s="36">
        <f>12*O17</f>
        <v>192</v>
      </c>
      <c r="P19" s="37"/>
      <c r="Q19" s="38"/>
    </row>
    <row r="20" spans="1:17" x14ac:dyDescent="0.2">
      <c r="B20" s="71"/>
      <c r="C20" s="71"/>
      <c r="D20" s="71"/>
      <c r="E20" s="71"/>
      <c r="H20" s="46" t="s">
        <v>29</v>
      </c>
      <c r="I20" s="47">
        <f>K20/I19</f>
        <v>7.0515625000000002</v>
      </c>
      <c r="J20" s="47" t="s">
        <v>23</v>
      </c>
      <c r="K20" s="47">
        <f>SUM(K15:K18)</f>
        <v>1353.9</v>
      </c>
      <c r="N20" s="46" t="s">
        <v>29</v>
      </c>
      <c r="O20" s="47">
        <f>Q20/O19</f>
        <v>5.0098958333333332</v>
      </c>
      <c r="P20" s="47" t="s">
        <v>23</v>
      </c>
      <c r="Q20" s="47">
        <f>SUM(Q16:Q18)</f>
        <v>961.9</v>
      </c>
    </row>
    <row r="21" spans="1:17" x14ac:dyDescent="0.2">
      <c r="B21" s="71"/>
      <c r="C21" s="71"/>
      <c r="D21" s="71"/>
      <c r="E21" s="71"/>
      <c r="H21" s="45" t="s">
        <v>32</v>
      </c>
      <c r="I21" s="45">
        <v>200</v>
      </c>
      <c r="J21" s="64" t="s">
        <v>28</v>
      </c>
      <c r="K21" s="64"/>
      <c r="N21" s="45" t="s">
        <v>32</v>
      </c>
      <c r="O21" s="45">
        <v>200</v>
      </c>
      <c r="P21" s="64" t="s">
        <v>28</v>
      </c>
      <c r="Q21" s="64"/>
    </row>
    <row r="22" spans="1:17" x14ac:dyDescent="0.2">
      <c r="B22" s="55"/>
      <c r="C22" s="55"/>
      <c r="D22" s="55"/>
      <c r="E22" s="55"/>
      <c r="H22" s="62" t="s">
        <v>31</v>
      </c>
      <c r="I22" s="62"/>
      <c r="J22" s="63">
        <f>K20/160</f>
        <v>8.4618750000000009</v>
      </c>
      <c r="K22" s="63"/>
      <c r="N22" s="62" t="s">
        <v>31</v>
      </c>
      <c r="O22" s="62"/>
      <c r="P22" s="51">
        <f>Q20/160</f>
        <v>6.0118749999999999</v>
      </c>
      <c r="Q22" s="51"/>
    </row>
    <row r="24" spans="1:17" s="25" customFormat="1" x14ac:dyDescent="0.2">
      <c r="A24" s="24" t="s">
        <v>41</v>
      </c>
      <c r="B24" s="25" t="s">
        <v>42</v>
      </c>
      <c r="C24" s="25">
        <f>50+30+15</f>
        <v>95</v>
      </c>
      <c r="D24" s="54">
        <v>15</v>
      </c>
      <c r="E24" s="54">
        <f>C24*D24</f>
        <v>1425</v>
      </c>
      <c r="F24" s="40"/>
      <c r="G24" s="24" t="s">
        <v>41</v>
      </c>
      <c r="H24" s="25" t="s">
        <v>42</v>
      </c>
      <c r="I24" s="25">
        <v>200</v>
      </c>
      <c r="J24" s="54">
        <v>15</v>
      </c>
      <c r="K24" s="54">
        <f>I24*J24</f>
        <v>3000</v>
      </c>
      <c r="L24" s="40"/>
      <c r="M24" s="24" t="s">
        <v>41</v>
      </c>
      <c r="N24" s="25" t="s">
        <v>42</v>
      </c>
      <c r="O24" s="25">
        <v>200</v>
      </c>
      <c r="P24" s="54">
        <v>15</v>
      </c>
      <c r="Q24" s="54">
        <f>O24*P24</f>
        <v>3000</v>
      </c>
    </row>
    <row r="26" spans="1:17" ht="32" x14ac:dyDescent="0.2">
      <c r="A26" s="48" t="s">
        <v>43</v>
      </c>
      <c r="B26" t="s">
        <v>8</v>
      </c>
      <c r="C26">
        <v>3</v>
      </c>
      <c r="D26" s="28">
        <v>149.35</v>
      </c>
      <c r="E26" s="28">
        <f>C26*D26</f>
        <v>448.04999999999995</v>
      </c>
      <c r="G26" s="48" t="s">
        <v>43</v>
      </c>
      <c r="H26" t="s">
        <v>8</v>
      </c>
      <c r="I26">
        <v>3</v>
      </c>
      <c r="J26" s="28">
        <v>149.35</v>
      </c>
      <c r="K26" s="28">
        <f>I26*J26</f>
        <v>448.04999999999995</v>
      </c>
      <c r="M26" s="48" t="s">
        <v>44</v>
      </c>
      <c r="N26" t="s">
        <v>8</v>
      </c>
      <c r="O26">
        <v>3</v>
      </c>
      <c r="P26" s="28">
        <v>149.35</v>
      </c>
      <c r="Q26" s="28">
        <f>O26*P26</f>
        <v>448.04999999999995</v>
      </c>
    </row>
    <row r="27" spans="1:17" x14ac:dyDescent="0.2">
      <c r="A27" t="s">
        <v>10</v>
      </c>
      <c r="B27" t="s">
        <v>11</v>
      </c>
      <c r="C27">
        <v>2</v>
      </c>
      <c r="D27" s="28">
        <v>15.45</v>
      </c>
      <c r="E27" s="28">
        <f t="shared" ref="E27:E33" si="5">C27*D27</f>
        <v>30.9</v>
      </c>
      <c r="G27" s="26" t="s">
        <v>45</v>
      </c>
      <c r="H27" t="s">
        <v>11</v>
      </c>
      <c r="I27">
        <v>2</v>
      </c>
      <c r="J27" s="28">
        <v>15.45</v>
      </c>
      <c r="K27" s="28">
        <f t="shared" ref="K27:K32" si="6">I27*J27</f>
        <v>30.9</v>
      </c>
      <c r="M27" s="59" t="s">
        <v>46</v>
      </c>
      <c r="N27" t="s">
        <v>11</v>
      </c>
      <c r="O27">
        <v>2</v>
      </c>
      <c r="P27" s="28">
        <v>15.45</v>
      </c>
      <c r="Q27" s="28">
        <f t="shared" ref="Q27:Q33" si="7">O27*P27</f>
        <v>30.9</v>
      </c>
    </row>
    <row r="28" spans="1:17" x14ac:dyDescent="0.2">
      <c r="A28" s="59" t="s">
        <v>47</v>
      </c>
      <c r="B28" t="s">
        <v>14</v>
      </c>
      <c r="C28">
        <v>2</v>
      </c>
      <c r="D28" s="28">
        <v>37.5</v>
      </c>
      <c r="E28" s="28">
        <f t="shared" si="5"/>
        <v>75</v>
      </c>
      <c r="G28" s="27">
        <v>0.625</v>
      </c>
      <c r="H28" t="s">
        <v>14</v>
      </c>
      <c r="I28">
        <v>2</v>
      </c>
      <c r="J28" s="28">
        <v>37.5</v>
      </c>
      <c r="K28" s="28">
        <f t="shared" si="6"/>
        <v>75</v>
      </c>
      <c r="M28" s="59" t="s">
        <v>47</v>
      </c>
      <c r="N28" t="s">
        <v>14</v>
      </c>
      <c r="O28">
        <v>2</v>
      </c>
      <c r="P28" s="28">
        <v>37.5</v>
      </c>
      <c r="Q28" s="28">
        <f t="shared" si="7"/>
        <v>75</v>
      </c>
    </row>
    <row r="29" spans="1:17" x14ac:dyDescent="0.2">
      <c r="B29" t="s">
        <v>48</v>
      </c>
      <c r="D29" s="28">
        <v>37.5</v>
      </c>
      <c r="E29" s="28">
        <f t="shared" si="5"/>
        <v>0</v>
      </c>
      <c r="H29" t="s">
        <v>48</v>
      </c>
      <c r="J29" s="28">
        <v>37.5</v>
      </c>
      <c r="K29" s="28">
        <f t="shared" si="6"/>
        <v>0</v>
      </c>
      <c r="M29" s="59"/>
      <c r="N29" t="s">
        <v>48</v>
      </c>
      <c r="P29" s="28">
        <v>37.5</v>
      </c>
      <c r="Q29" s="28">
        <f t="shared" si="7"/>
        <v>0</v>
      </c>
    </row>
    <row r="30" spans="1:17" x14ac:dyDescent="0.2">
      <c r="B30" t="s">
        <v>49</v>
      </c>
      <c r="C30">
        <v>6</v>
      </c>
      <c r="D30" s="28">
        <v>54</v>
      </c>
      <c r="E30" s="28">
        <f t="shared" si="5"/>
        <v>324</v>
      </c>
      <c r="H30" t="s">
        <v>49</v>
      </c>
      <c r="I30">
        <v>6</v>
      </c>
      <c r="J30" s="28">
        <v>54</v>
      </c>
      <c r="K30" s="28">
        <f t="shared" si="6"/>
        <v>324</v>
      </c>
      <c r="N30" t="s">
        <v>49</v>
      </c>
      <c r="O30">
        <v>6</v>
      </c>
      <c r="P30" s="28">
        <v>54</v>
      </c>
      <c r="Q30" s="28">
        <f t="shared" si="7"/>
        <v>324</v>
      </c>
    </row>
    <row r="31" spans="1:17" x14ac:dyDescent="0.2">
      <c r="B31" t="s">
        <v>50</v>
      </c>
      <c r="C31">
        <v>4</v>
      </c>
      <c r="D31" s="28">
        <v>98</v>
      </c>
      <c r="E31" s="28">
        <f t="shared" si="5"/>
        <v>392</v>
      </c>
      <c r="H31" t="s">
        <v>50</v>
      </c>
      <c r="I31">
        <v>4</v>
      </c>
      <c r="J31" s="28">
        <v>98</v>
      </c>
      <c r="K31" s="28">
        <f t="shared" si="6"/>
        <v>392</v>
      </c>
      <c r="N31" t="s">
        <v>50</v>
      </c>
      <c r="O31">
        <v>4</v>
      </c>
      <c r="P31" s="28">
        <v>98</v>
      </c>
      <c r="Q31" s="28">
        <f t="shared" si="7"/>
        <v>392</v>
      </c>
    </row>
    <row r="32" spans="1:17" x14ac:dyDescent="0.2">
      <c r="B32" t="s">
        <v>16</v>
      </c>
      <c r="C32">
        <v>10</v>
      </c>
      <c r="D32" s="28">
        <v>36</v>
      </c>
      <c r="E32" s="28">
        <f t="shared" si="5"/>
        <v>360</v>
      </c>
      <c r="H32" t="s">
        <v>16</v>
      </c>
      <c r="I32">
        <v>10</v>
      </c>
      <c r="J32" s="28">
        <v>36</v>
      </c>
      <c r="K32" s="28">
        <f t="shared" si="6"/>
        <v>360</v>
      </c>
      <c r="N32" t="s">
        <v>16</v>
      </c>
      <c r="O32">
        <v>10</v>
      </c>
      <c r="P32" s="28">
        <v>36</v>
      </c>
      <c r="Q32" s="28">
        <f t="shared" si="7"/>
        <v>360</v>
      </c>
    </row>
    <row r="33" spans="1:17" ht="16" thickBot="1" x14ac:dyDescent="0.25">
      <c r="B33" t="s">
        <v>51</v>
      </c>
      <c r="C33">
        <v>16</v>
      </c>
      <c r="D33" s="28">
        <v>18.95</v>
      </c>
      <c r="E33" s="28">
        <f t="shared" si="5"/>
        <v>303.2</v>
      </c>
      <c r="H33" t="s">
        <v>52</v>
      </c>
      <c r="I33">
        <v>8</v>
      </c>
      <c r="J33" s="28">
        <v>36</v>
      </c>
      <c r="K33" s="28">
        <f>I33*J33</f>
        <v>288</v>
      </c>
      <c r="N33" t="s">
        <v>51</v>
      </c>
      <c r="O33">
        <v>16</v>
      </c>
      <c r="P33" s="28">
        <v>18.95</v>
      </c>
      <c r="Q33" s="28">
        <f t="shared" si="7"/>
        <v>303.2</v>
      </c>
    </row>
    <row r="34" spans="1:17" ht="29" customHeight="1" thickBot="1" x14ac:dyDescent="0.25">
      <c r="B34" s="42" t="s">
        <v>19</v>
      </c>
      <c r="C34" s="43">
        <f>12*C33</f>
        <v>192</v>
      </c>
      <c r="D34" s="67" t="s">
        <v>20</v>
      </c>
      <c r="E34" s="68"/>
      <c r="H34" t="s">
        <v>51</v>
      </c>
      <c r="I34">
        <v>8</v>
      </c>
      <c r="J34" s="28">
        <v>18.95</v>
      </c>
      <c r="K34" s="28">
        <f>I34*J34</f>
        <v>151.6</v>
      </c>
      <c r="N34" s="42" t="s">
        <v>19</v>
      </c>
      <c r="O34" s="43">
        <f>O33*12</f>
        <v>192</v>
      </c>
      <c r="P34" s="67" t="s">
        <v>20</v>
      </c>
      <c r="Q34" s="72"/>
    </row>
    <row r="35" spans="1:17" ht="29" customHeight="1" thickBot="1" x14ac:dyDescent="0.25">
      <c r="B35" s="46" t="s">
        <v>29</v>
      </c>
      <c r="C35" s="47">
        <f>E35/C34</f>
        <v>10.068489583333333</v>
      </c>
      <c r="D35" s="47" t="s">
        <v>23</v>
      </c>
      <c r="E35" s="47">
        <f>SUM(E26:E33)</f>
        <v>1933.1499999999999</v>
      </c>
      <c r="H35" s="42" t="s">
        <v>19</v>
      </c>
      <c r="I35" s="43">
        <f>12*(I34+I33)</f>
        <v>192</v>
      </c>
      <c r="J35" s="67" t="s">
        <v>20</v>
      </c>
      <c r="K35" s="72"/>
      <c r="N35" s="46" t="s">
        <v>29</v>
      </c>
      <c r="O35" s="47">
        <f>Q35/O34</f>
        <v>10.068489583333333</v>
      </c>
      <c r="P35" s="47" t="s">
        <v>23</v>
      </c>
      <c r="Q35" s="47">
        <f>SUM(Q26:Q33)</f>
        <v>1933.1499999999999</v>
      </c>
    </row>
    <row r="36" spans="1:17" ht="18" customHeight="1" x14ac:dyDescent="0.2">
      <c r="B36" s="45" t="s">
        <v>32</v>
      </c>
      <c r="C36" s="45">
        <v>200</v>
      </c>
      <c r="D36" s="64" t="s">
        <v>28</v>
      </c>
      <c r="E36" s="64"/>
      <c r="H36" s="46" t="s">
        <v>29</v>
      </c>
      <c r="I36" s="47">
        <f>K36/I35</f>
        <v>10.778906249999999</v>
      </c>
      <c r="J36" s="47" t="s">
        <v>23</v>
      </c>
      <c r="K36" s="47">
        <f>SUM(K26:K34)</f>
        <v>2069.5499999999997</v>
      </c>
      <c r="N36" s="45" t="s">
        <v>32</v>
      </c>
      <c r="O36" s="45">
        <v>200</v>
      </c>
      <c r="P36" s="64" t="s">
        <v>28</v>
      </c>
      <c r="Q36" s="64"/>
    </row>
    <row r="37" spans="1:17" ht="17" customHeight="1" x14ac:dyDescent="0.2">
      <c r="B37" s="62" t="s">
        <v>31</v>
      </c>
      <c r="C37" s="62"/>
      <c r="D37" s="63">
        <f>E35/160</f>
        <v>12.0821875</v>
      </c>
      <c r="E37" s="63"/>
      <c r="H37" s="45" t="s">
        <v>32</v>
      </c>
      <c r="I37" s="45">
        <v>200</v>
      </c>
      <c r="J37" s="64" t="s">
        <v>28</v>
      </c>
      <c r="K37" s="64"/>
      <c r="N37" s="62" t="s">
        <v>31</v>
      </c>
      <c r="O37" s="62"/>
      <c r="P37" s="63">
        <f>Q35/160</f>
        <v>12.0821875</v>
      </c>
      <c r="Q37" s="63"/>
    </row>
    <row r="38" spans="1:17" ht="15" customHeight="1" x14ac:dyDescent="0.2">
      <c r="A38" s="30"/>
      <c r="B38" s="31"/>
      <c r="C38" s="31"/>
      <c r="D38" s="32"/>
      <c r="E38" s="32"/>
      <c r="F38" s="41"/>
      <c r="G38" s="30"/>
      <c r="H38" s="62" t="s">
        <v>31</v>
      </c>
      <c r="I38" s="62"/>
      <c r="J38" s="51">
        <f>K36/160</f>
        <v>12.934687499999999</v>
      </c>
      <c r="K38" s="51"/>
      <c r="L38" s="41"/>
      <c r="M38" s="30"/>
    </row>
    <row r="39" spans="1:17" ht="15" customHeight="1" x14ac:dyDescent="0.2">
      <c r="A39" s="1" t="s">
        <v>53</v>
      </c>
      <c r="E39" s="28">
        <f>SUM(E35,E9,E24)</f>
        <v>3997.7999999999997</v>
      </c>
      <c r="K39" s="28">
        <f>SUM(K36,K10,K24,K20)</f>
        <v>8055.9</v>
      </c>
      <c r="Q39" s="28">
        <f>SUM(Q35,Q24,Q20,Q11)</f>
        <v>7527.4999999999991</v>
      </c>
    </row>
    <row r="40" spans="1:17" ht="15" customHeight="1" x14ac:dyDescent="0.2">
      <c r="A40" s="1" t="s">
        <v>54</v>
      </c>
      <c r="E40" s="28">
        <f>E39*0.13</f>
        <v>519.71399999999994</v>
      </c>
      <c r="K40" s="28">
        <f>K39*0.13</f>
        <v>1047.2670000000001</v>
      </c>
      <c r="Q40" s="28">
        <f>Q39*0.13</f>
        <v>978.57499999999993</v>
      </c>
    </row>
    <row r="41" spans="1:17" ht="15" customHeight="1" x14ac:dyDescent="0.2">
      <c r="A41" s="1" t="s">
        <v>55</v>
      </c>
      <c r="E41" s="28">
        <f>E39+E40</f>
        <v>4517.5139999999992</v>
      </c>
      <c r="K41" s="28">
        <f>K39+K40</f>
        <v>9103.1669999999995</v>
      </c>
      <c r="Q41" s="28">
        <f>Q39+Q40</f>
        <v>8506.0749999999989</v>
      </c>
    </row>
    <row r="43" spans="1:17" ht="15" customHeight="1" thickBot="1" x14ac:dyDescent="0.25"/>
    <row r="44" spans="1:17" ht="15" customHeight="1" thickBot="1" x14ac:dyDescent="0.25">
      <c r="A44" s="33" t="s">
        <v>56</v>
      </c>
      <c r="B44" s="34">
        <f>SUM(E41,K41,Q41)</f>
        <v>22126.755999999998</v>
      </c>
      <c r="C44" s="73" t="s">
        <v>57</v>
      </c>
      <c r="D44" s="73"/>
    </row>
    <row r="45" spans="1:17" ht="15" customHeight="1" x14ac:dyDescent="0.2">
      <c r="A45" s="9" t="s">
        <v>58</v>
      </c>
      <c r="B45" s="9">
        <v>160</v>
      </c>
      <c r="C45" s="73"/>
      <c r="D45" s="73"/>
    </row>
    <row r="46" spans="1:17" ht="63" customHeight="1" x14ac:dyDescent="0.2">
      <c r="A46" s="57" t="s">
        <v>59</v>
      </c>
      <c r="B46" s="58">
        <f>B44/B45</f>
        <v>138.29222499999997</v>
      </c>
      <c r="C46" s="73"/>
      <c r="D46" s="73"/>
    </row>
    <row r="47" spans="1:17" ht="30" customHeight="1" x14ac:dyDescent="0.2">
      <c r="A47" s="23" t="s">
        <v>60</v>
      </c>
      <c r="B47" s="56">
        <f>160-B46</f>
        <v>21.707775000000026</v>
      </c>
    </row>
  </sheetData>
  <mergeCells count="32">
    <mergeCell ref="D8:E8"/>
    <mergeCell ref="J9:K9"/>
    <mergeCell ref="D10:E10"/>
    <mergeCell ref="P10:Q10"/>
    <mergeCell ref="B11:C11"/>
    <mergeCell ref="D11:E11"/>
    <mergeCell ref="J11:K11"/>
    <mergeCell ref="D34:E34"/>
    <mergeCell ref="H12:I12"/>
    <mergeCell ref="J12:K12"/>
    <mergeCell ref="P12:Q12"/>
    <mergeCell ref="N13:O13"/>
    <mergeCell ref="P13:Q13"/>
    <mergeCell ref="B15:E21"/>
    <mergeCell ref="J19:K19"/>
    <mergeCell ref="C44:D46"/>
    <mergeCell ref="D36:E36"/>
    <mergeCell ref="B37:C37"/>
    <mergeCell ref="D37:E37"/>
    <mergeCell ref="J37:K37"/>
    <mergeCell ref="R2:U8"/>
    <mergeCell ref="J35:K35"/>
    <mergeCell ref="H38:I38"/>
    <mergeCell ref="P34:Q34"/>
    <mergeCell ref="P36:Q36"/>
    <mergeCell ref="N22:O22"/>
    <mergeCell ref="P21:Q21"/>
    <mergeCell ref="N37:O37"/>
    <mergeCell ref="P37:Q37"/>
    <mergeCell ref="J21:K21"/>
    <mergeCell ref="H22:I22"/>
    <mergeCell ref="J22:K22"/>
  </mergeCells>
  <conditionalFormatting sqref="B47">
    <cfRule type="expression" dxfId="57" priority="26">
      <formula>$B$47&gt;0</formula>
    </cfRule>
  </conditionalFormatting>
  <conditionalFormatting sqref="D10:E10">
    <cfRule type="expression" dxfId="56" priority="41" stopIfTrue="1">
      <formula>$C$8&gt;=($C$10+-($C$10*0.1))</formula>
    </cfRule>
    <cfRule type="expression" dxfId="55" priority="42">
      <formula>$C$10&gt;$C$8</formula>
    </cfRule>
  </conditionalFormatting>
  <conditionalFormatting sqref="D36:E36">
    <cfRule type="expression" dxfId="54" priority="2" stopIfTrue="1">
      <formula>C34&gt;=(C36+-(C36*0.1))</formula>
    </cfRule>
    <cfRule type="expression" dxfId="53" priority="3">
      <formula>C36&gt;C34</formula>
    </cfRule>
  </conditionalFormatting>
  <conditionalFormatting sqref="E2:E7">
    <cfRule type="top10" dxfId="52" priority="21" stopIfTrue="1" rank="1"/>
  </conditionalFormatting>
  <conditionalFormatting sqref="E26:E33">
    <cfRule type="top10" dxfId="51" priority="20" stopIfTrue="1" rank="1"/>
  </conditionalFormatting>
  <conditionalFormatting sqref="J37">
    <cfRule type="expression" dxfId="50" priority="4" stopIfTrue="1">
      <formula>I35&gt;=(I37+-(I37*0.1))</formula>
    </cfRule>
    <cfRule type="expression" dxfId="49" priority="5">
      <formula>I37&gt;I35</formula>
    </cfRule>
  </conditionalFormatting>
  <conditionalFormatting sqref="J11:K11">
    <cfRule type="expression" dxfId="48" priority="39" stopIfTrue="1">
      <formula>$I$9&gt;=($I$11+-($I$11*0.1))</formula>
    </cfRule>
    <cfRule type="expression" dxfId="47" priority="40">
      <formula>$I$11&gt;$I$9</formula>
    </cfRule>
  </conditionalFormatting>
  <conditionalFormatting sqref="J21:K21">
    <cfRule type="expression" dxfId="46" priority="10" stopIfTrue="1">
      <formula>I19&gt;=(I21+-(I21*0.1))</formula>
    </cfRule>
    <cfRule type="expression" dxfId="45" priority="11">
      <formula>I21&gt;I19</formula>
    </cfRule>
  </conditionalFormatting>
  <conditionalFormatting sqref="K2:K8">
    <cfRule type="top10" dxfId="44" priority="24" rank="1"/>
    <cfRule type="top10" dxfId="43" priority="25" stopIfTrue="1" rank="1"/>
  </conditionalFormatting>
  <conditionalFormatting sqref="K15:K18">
    <cfRule type="top10" dxfId="42" priority="17" stopIfTrue="1" rank="1"/>
  </conditionalFormatting>
  <conditionalFormatting sqref="K26:K32 K34">
    <cfRule type="top10" dxfId="41" priority="43" stopIfTrue="1" rank="1"/>
  </conditionalFormatting>
  <conditionalFormatting sqref="P21">
    <cfRule type="expression" dxfId="40" priority="8" stopIfTrue="1">
      <formula>O19&gt;=(O21+-(O21*0.1))</formula>
    </cfRule>
    <cfRule type="expression" dxfId="39" priority="9">
      <formula>O21&gt;O19</formula>
    </cfRule>
  </conditionalFormatting>
  <conditionalFormatting sqref="P36">
    <cfRule type="expression" dxfId="38" priority="6" stopIfTrue="1">
      <formula>O34&gt;=(O36+-(O36*0.1))</formula>
    </cfRule>
    <cfRule type="expression" dxfId="37" priority="7">
      <formula>O36&gt;O34</formula>
    </cfRule>
  </conditionalFormatting>
  <conditionalFormatting sqref="P12:Q12">
    <cfRule type="expression" dxfId="36" priority="15" stopIfTrue="1">
      <formula>$O10&gt;=($O12+-($O12*0.1))</formula>
    </cfRule>
    <cfRule type="expression" dxfId="35" priority="16">
      <formula>$O12&gt;$O10</formula>
    </cfRule>
  </conditionalFormatting>
  <conditionalFormatting sqref="Q2:Q9">
    <cfRule type="top10" dxfId="34" priority="22" stopIfTrue="1" rank="1"/>
  </conditionalFormatting>
  <conditionalFormatting sqref="Q15">
    <cfRule type="top10" dxfId="33" priority="14" stopIfTrue="1" rank="1"/>
  </conditionalFormatting>
  <conditionalFormatting sqref="Q15:Q16 Q18">
    <cfRule type="top10" dxfId="32" priority="44" rank="1"/>
  </conditionalFormatting>
  <conditionalFormatting sqref="Q17">
    <cfRule type="top10" dxfId="31" priority="1" stopIfTrue="1" rank="1"/>
  </conditionalFormatting>
  <conditionalFormatting sqref="Q26:Q33 K33">
    <cfRule type="top10" dxfId="30" priority="23" stopIfTrue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4AE5-C315-284A-90BE-B24A13AD7EC8}">
  <dimension ref="A1:U58"/>
  <sheetViews>
    <sheetView topLeftCell="D12" zoomScale="150" zoomScaleNormal="100" workbookViewId="0">
      <selection activeCell="E58" sqref="E58"/>
    </sheetView>
  </sheetViews>
  <sheetFormatPr baseColWidth="10" defaultColWidth="8.83203125" defaultRowHeight="15" customHeight="1" x14ac:dyDescent="0.2"/>
  <cols>
    <col min="1" max="1" width="13.83203125" style="1" customWidth="1"/>
    <col min="2" max="2" width="34" customWidth="1"/>
    <col min="3" max="3" width="7.33203125" customWidth="1"/>
    <col min="4" max="4" width="12.83203125" style="28" customWidth="1"/>
    <col min="5" max="5" width="15.1640625" style="28" customWidth="1"/>
    <col min="6" max="6" width="1" style="40" customWidth="1"/>
    <col min="7" max="7" width="12.6640625" style="1" customWidth="1"/>
    <col min="8" max="8" width="35.5" bestFit="1" customWidth="1"/>
    <col min="9" max="9" width="9" customWidth="1"/>
    <col min="10" max="10" width="14.1640625" style="28" customWidth="1"/>
    <col min="11" max="11" width="13.33203125" style="28" customWidth="1"/>
    <col min="12" max="12" width="0.83203125" style="40" customWidth="1"/>
    <col min="13" max="13" width="11.5" style="1" customWidth="1"/>
    <col min="14" max="14" width="35.5" bestFit="1" customWidth="1"/>
    <col min="15" max="15" width="7.83203125" customWidth="1"/>
    <col min="16" max="16" width="13.83203125" style="28" customWidth="1"/>
    <col min="17" max="17" width="12.5" style="28" customWidth="1"/>
  </cols>
  <sheetData>
    <row r="1" spans="1:21" s="21" customFormat="1" x14ac:dyDescent="0.2">
      <c r="A1" s="21" t="s">
        <v>0</v>
      </c>
      <c r="B1" s="50" t="s">
        <v>1</v>
      </c>
      <c r="C1" s="21" t="s">
        <v>2</v>
      </c>
      <c r="D1" s="29" t="s">
        <v>3</v>
      </c>
      <c r="E1" s="29" t="s">
        <v>4</v>
      </c>
      <c r="F1" s="39"/>
      <c r="G1" s="21" t="s">
        <v>0</v>
      </c>
      <c r="H1" s="50" t="s">
        <v>5</v>
      </c>
      <c r="I1" s="21" t="s">
        <v>2</v>
      </c>
      <c r="J1" s="29" t="s">
        <v>3</v>
      </c>
      <c r="K1" s="29" t="s">
        <v>4</v>
      </c>
      <c r="L1" s="39"/>
      <c r="M1" s="21" t="s">
        <v>0</v>
      </c>
      <c r="N1" s="50" t="s">
        <v>6</v>
      </c>
      <c r="O1" s="21" t="s">
        <v>2</v>
      </c>
      <c r="P1" s="29" t="s">
        <v>3</v>
      </c>
      <c r="Q1" s="29" t="s">
        <v>4</v>
      </c>
    </row>
    <row r="2" spans="1:21" x14ac:dyDescent="0.2">
      <c r="A2" s="49" t="s">
        <v>7</v>
      </c>
      <c r="B2" t="s">
        <v>8</v>
      </c>
      <c r="C2">
        <v>2</v>
      </c>
      <c r="D2" s="28">
        <v>149.35</v>
      </c>
      <c r="E2" s="28">
        <f>C2*D2</f>
        <v>298.7</v>
      </c>
      <c r="G2" s="49" t="s">
        <v>7</v>
      </c>
      <c r="H2" t="s">
        <v>8</v>
      </c>
      <c r="I2">
        <v>3</v>
      </c>
      <c r="J2" s="28">
        <v>149.35</v>
      </c>
      <c r="K2" s="28">
        <f>I2*J2</f>
        <v>448.04999999999995</v>
      </c>
      <c r="M2" s="49" t="s">
        <v>7</v>
      </c>
      <c r="N2" t="s">
        <v>8</v>
      </c>
      <c r="O2">
        <v>3</v>
      </c>
      <c r="P2" s="28">
        <v>149.35</v>
      </c>
      <c r="Q2" s="28">
        <f>O2*P2</f>
        <v>448.04999999999995</v>
      </c>
      <c r="R2" s="65" t="s">
        <v>9</v>
      </c>
      <c r="S2" s="65"/>
      <c r="T2" s="65"/>
      <c r="U2" s="65"/>
    </row>
    <row r="3" spans="1:21" x14ac:dyDescent="0.2">
      <c r="A3" s="59" t="s">
        <v>10</v>
      </c>
      <c r="B3" t="s">
        <v>11</v>
      </c>
      <c r="C3">
        <v>1</v>
      </c>
      <c r="D3" s="28">
        <v>15.45</v>
      </c>
      <c r="E3" s="28">
        <f t="shared" ref="E3:E7" si="0">C3*D3</f>
        <v>15.45</v>
      </c>
      <c r="G3" s="59" t="s">
        <v>12</v>
      </c>
      <c r="H3" t="s">
        <v>11</v>
      </c>
      <c r="I3">
        <v>2</v>
      </c>
      <c r="J3" s="28">
        <v>15.45</v>
      </c>
      <c r="K3" s="28">
        <f t="shared" ref="K3:K8" si="1">I3*J3</f>
        <v>30.9</v>
      </c>
      <c r="M3" s="59" t="s">
        <v>12</v>
      </c>
      <c r="N3" t="s">
        <v>11</v>
      </c>
      <c r="O3">
        <v>2</v>
      </c>
      <c r="P3" s="28">
        <v>15.45</v>
      </c>
      <c r="Q3" s="28">
        <f t="shared" ref="Q3:Q9" si="2">O3*P3</f>
        <v>30.9</v>
      </c>
      <c r="R3" s="66"/>
      <c r="S3" s="66"/>
      <c r="T3" s="66"/>
      <c r="U3" s="66"/>
    </row>
    <row r="4" spans="1:21" x14ac:dyDescent="0.2">
      <c r="A4" s="59" t="s">
        <v>13</v>
      </c>
      <c r="B4" t="s">
        <v>14</v>
      </c>
      <c r="C4">
        <v>1</v>
      </c>
      <c r="D4" s="28">
        <v>37.5</v>
      </c>
      <c r="E4" s="28">
        <f t="shared" si="0"/>
        <v>37.5</v>
      </c>
      <c r="G4" s="60">
        <v>0.36458333333333331</v>
      </c>
      <c r="H4" t="s">
        <v>14</v>
      </c>
      <c r="I4">
        <v>1</v>
      </c>
      <c r="J4" s="28">
        <v>37.5</v>
      </c>
      <c r="K4" s="28">
        <f t="shared" si="1"/>
        <v>37.5</v>
      </c>
      <c r="M4" s="60">
        <v>0.36458333333333331</v>
      </c>
      <c r="N4" t="s">
        <v>14</v>
      </c>
      <c r="O4">
        <v>1</v>
      </c>
      <c r="P4" s="28">
        <v>37.5</v>
      </c>
      <c r="Q4" s="28">
        <f t="shared" si="2"/>
        <v>37.5</v>
      </c>
      <c r="R4" s="66"/>
      <c r="S4" s="66"/>
      <c r="T4" s="66"/>
      <c r="U4" s="66"/>
    </row>
    <row r="5" spans="1:21" x14ac:dyDescent="0.2">
      <c r="B5" t="s">
        <v>15</v>
      </c>
      <c r="D5" s="28">
        <v>37.5</v>
      </c>
      <c r="E5" s="28">
        <f t="shared" si="0"/>
        <v>0</v>
      </c>
      <c r="H5" t="s">
        <v>15</v>
      </c>
      <c r="J5" s="28">
        <v>37.5</v>
      </c>
      <c r="K5" s="28">
        <f t="shared" si="1"/>
        <v>0</v>
      </c>
      <c r="N5" t="s">
        <v>15</v>
      </c>
      <c r="P5" s="28">
        <v>37.5</v>
      </c>
      <c r="Q5" s="28">
        <f t="shared" si="2"/>
        <v>0</v>
      </c>
      <c r="R5" s="66"/>
      <c r="S5" s="66"/>
      <c r="T5" s="66"/>
      <c r="U5" s="66"/>
    </row>
    <row r="6" spans="1:21" x14ac:dyDescent="0.2">
      <c r="B6" t="s">
        <v>16</v>
      </c>
      <c r="C6">
        <v>4</v>
      </c>
      <c r="D6" s="28">
        <v>36</v>
      </c>
      <c r="E6" s="28">
        <f t="shared" si="0"/>
        <v>144</v>
      </c>
      <c r="H6" t="s">
        <v>16</v>
      </c>
      <c r="I6">
        <v>15</v>
      </c>
      <c r="J6" s="28">
        <v>36</v>
      </c>
      <c r="K6" s="28">
        <f t="shared" si="1"/>
        <v>540</v>
      </c>
      <c r="N6" t="s">
        <v>16</v>
      </c>
      <c r="O6">
        <v>15</v>
      </c>
      <c r="P6" s="28">
        <v>36</v>
      </c>
      <c r="Q6" s="28">
        <f t="shared" si="2"/>
        <v>540</v>
      </c>
      <c r="R6" s="66"/>
      <c r="S6" s="66"/>
      <c r="T6" s="66"/>
      <c r="U6" s="66"/>
    </row>
    <row r="7" spans="1:21" ht="16" thickBot="1" x14ac:dyDescent="0.25">
      <c r="B7" t="s">
        <v>17</v>
      </c>
      <c r="C7">
        <v>4</v>
      </c>
      <c r="D7" s="28">
        <v>36</v>
      </c>
      <c r="E7" s="28">
        <f t="shared" si="0"/>
        <v>144</v>
      </c>
      <c r="H7" t="s">
        <v>18</v>
      </c>
      <c r="I7">
        <v>8</v>
      </c>
      <c r="J7" s="28">
        <v>36</v>
      </c>
      <c r="K7" s="28">
        <f t="shared" si="1"/>
        <v>288</v>
      </c>
      <c r="N7" t="s">
        <v>18</v>
      </c>
      <c r="O7">
        <v>8</v>
      </c>
      <c r="P7" s="28">
        <v>36</v>
      </c>
      <c r="Q7" s="28">
        <f t="shared" si="2"/>
        <v>288</v>
      </c>
      <c r="R7" s="66"/>
      <c r="S7" s="66"/>
      <c r="T7" s="66"/>
      <c r="U7" s="66"/>
    </row>
    <row r="8" spans="1:21" ht="28" customHeight="1" thickBot="1" x14ac:dyDescent="0.25">
      <c r="B8" s="35" t="s">
        <v>19</v>
      </c>
      <c r="C8" s="36">
        <f>12*C7</f>
        <v>48</v>
      </c>
      <c r="D8" s="67" t="s">
        <v>20</v>
      </c>
      <c r="E8" s="68"/>
      <c r="H8" t="s">
        <v>21</v>
      </c>
      <c r="I8">
        <v>8</v>
      </c>
      <c r="J8" s="28">
        <v>36</v>
      </c>
      <c r="K8" s="28">
        <f t="shared" si="1"/>
        <v>288</v>
      </c>
      <c r="N8" t="s">
        <v>21</v>
      </c>
      <c r="O8">
        <v>4</v>
      </c>
      <c r="P8" s="28">
        <v>36</v>
      </c>
      <c r="Q8" s="28">
        <f t="shared" si="2"/>
        <v>144</v>
      </c>
      <c r="R8" s="66"/>
      <c r="S8" s="66"/>
      <c r="T8" s="66"/>
      <c r="U8" s="66"/>
    </row>
    <row r="9" spans="1:21" ht="16" thickBot="1" x14ac:dyDescent="0.25">
      <c r="B9" s="46" t="s">
        <v>22</v>
      </c>
      <c r="C9" s="47">
        <f>E9/C8</f>
        <v>13.326041666666667</v>
      </c>
      <c r="D9" s="47" t="s">
        <v>23</v>
      </c>
      <c r="E9" s="47">
        <f>SUM(E2:E7)</f>
        <v>639.65</v>
      </c>
      <c r="H9" s="35" t="s">
        <v>24</v>
      </c>
      <c r="I9" s="36">
        <f>12*I6</f>
        <v>180</v>
      </c>
      <c r="J9" s="69" t="s">
        <v>25</v>
      </c>
      <c r="K9" s="70"/>
      <c r="N9" t="s">
        <v>26</v>
      </c>
      <c r="O9">
        <v>4</v>
      </c>
      <c r="P9" s="28">
        <v>36</v>
      </c>
      <c r="Q9" s="28">
        <f t="shared" si="2"/>
        <v>144</v>
      </c>
    </row>
    <row r="10" spans="1:21" ht="16" thickBot="1" x14ac:dyDescent="0.25">
      <c r="B10" s="45" t="s">
        <v>27</v>
      </c>
      <c r="C10" s="45">
        <f>200*0.25</f>
        <v>50</v>
      </c>
      <c r="D10" s="64" t="s">
        <v>28</v>
      </c>
      <c r="E10" s="64"/>
      <c r="H10" s="46" t="s">
        <v>29</v>
      </c>
      <c r="I10" s="47">
        <f>K10/I9</f>
        <v>9.0691666666666659</v>
      </c>
      <c r="J10" s="47" t="s">
        <v>23</v>
      </c>
      <c r="K10" s="47">
        <f>SUM(K2:K8)</f>
        <v>1632.4499999999998</v>
      </c>
      <c r="N10" s="35" t="s">
        <v>30</v>
      </c>
      <c r="O10" s="36">
        <f>12*O6</f>
        <v>180</v>
      </c>
      <c r="P10" s="69" t="s">
        <v>25</v>
      </c>
      <c r="Q10" s="70"/>
    </row>
    <row r="11" spans="1:21" x14ac:dyDescent="0.2">
      <c r="B11" s="62" t="s">
        <v>31</v>
      </c>
      <c r="C11" s="62"/>
      <c r="D11" s="63">
        <f>E9/160</f>
        <v>3.9978124999999998</v>
      </c>
      <c r="E11" s="63"/>
      <c r="H11" s="45" t="s">
        <v>32</v>
      </c>
      <c r="I11" s="45">
        <v>200</v>
      </c>
      <c r="J11" s="64" t="s">
        <v>28</v>
      </c>
      <c r="K11" s="64"/>
      <c r="N11" s="46" t="s">
        <v>29</v>
      </c>
      <c r="O11" s="47">
        <f>Q11/O10</f>
        <v>9.0691666666666659</v>
      </c>
      <c r="P11" s="47" t="s">
        <v>23</v>
      </c>
      <c r="Q11" s="47">
        <f>SUM(Q2:Q9)</f>
        <v>1632.4499999999998</v>
      </c>
    </row>
    <row r="12" spans="1:21" x14ac:dyDescent="0.2">
      <c r="D12" s="44"/>
      <c r="E12" s="44"/>
      <c r="H12" s="62" t="s">
        <v>31</v>
      </c>
      <c r="I12" s="62"/>
      <c r="J12" s="63">
        <f>K10/160</f>
        <v>10.202812499999999</v>
      </c>
      <c r="K12" s="63"/>
      <c r="N12" s="45" t="s">
        <v>32</v>
      </c>
      <c r="O12" s="45">
        <v>200</v>
      </c>
      <c r="P12" s="64" t="s">
        <v>28</v>
      </c>
      <c r="Q12" s="64"/>
    </row>
    <row r="13" spans="1:21" ht="15" customHeight="1" x14ac:dyDescent="0.2">
      <c r="N13" s="62" t="s">
        <v>31</v>
      </c>
      <c r="O13" s="62"/>
      <c r="P13" s="63">
        <f>Q11/160</f>
        <v>10.202812499999999</v>
      </c>
      <c r="Q13" s="63"/>
    </row>
    <row r="14" spans="1:21" ht="15" customHeight="1" x14ac:dyDescent="0.2">
      <c r="N14" s="52"/>
      <c r="O14" s="52"/>
      <c r="P14" s="53"/>
      <c r="Q14" s="53"/>
    </row>
    <row r="15" spans="1:21" ht="32" x14ac:dyDescent="0.2">
      <c r="A15" s="48" t="s">
        <v>33</v>
      </c>
      <c r="B15" s="71" t="s">
        <v>34</v>
      </c>
      <c r="C15" s="71"/>
      <c r="D15" s="71"/>
      <c r="E15" s="71"/>
      <c r="G15" s="48" t="s">
        <v>33</v>
      </c>
      <c r="H15" t="s">
        <v>35</v>
      </c>
      <c r="I15">
        <v>4</v>
      </c>
      <c r="J15" s="28">
        <v>98</v>
      </c>
      <c r="K15" s="28">
        <f>I15*J15</f>
        <v>392</v>
      </c>
      <c r="M15" s="48" t="s">
        <v>33</v>
      </c>
      <c r="N15" t="s">
        <v>35</v>
      </c>
      <c r="O15">
        <v>4</v>
      </c>
      <c r="P15" s="28">
        <v>98</v>
      </c>
      <c r="Q15" s="28">
        <f>O15*P15</f>
        <v>392</v>
      </c>
    </row>
    <row r="16" spans="1:21" ht="64" x14ac:dyDescent="0.2">
      <c r="B16" s="71"/>
      <c r="C16" s="71"/>
      <c r="D16" s="71"/>
      <c r="E16" s="71"/>
      <c r="G16" s="22" t="s">
        <v>36</v>
      </c>
      <c r="H16" t="s">
        <v>37</v>
      </c>
      <c r="I16">
        <v>16</v>
      </c>
      <c r="J16" s="28">
        <v>18.95</v>
      </c>
      <c r="K16" s="28">
        <f t="shared" ref="K16:K18" si="3">I16*J16</f>
        <v>303.2</v>
      </c>
      <c r="M16" s="22" t="s">
        <v>36</v>
      </c>
      <c r="N16" t="s">
        <v>38</v>
      </c>
      <c r="O16">
        <v>2</v>
      </c>
      <c r="P16" s="28">
        <v>149.35</v>
      </c>
      <c r="Q16" s="28">
        <f>O16*P16</f>
        <v>298.7</v>
      </c>
    </row>
    <row r="17" spans="1:17" x14ac:dyDescent="0.2">
      <c r="B17" s="71"/>
      <c r="C17" s="71"/>
      <c r="D17" s="71"/>
      <c r="E17" s="71"/>
      <c r="H17" t="s">
        <v>38</v>
      </c>
      <c r="I17">
        <v>2</v>
      </c>
      <c r="J17" s="28">
        <v>149.35</v>
      </c>
      <c r="K17" s="28">
        <f t="shared" si="3"/>
        <v>298.7</v>
      </c>
      <c r="N17" t="s">
        <v>37</v>
      </c>
      <c r="O17">
        <v>16</v>
      </c>
      <c r="P17" s="28">
        <v>18.95</v>
      </c>
      <c r="Q17" s="28">
        <f t="shared" ref="Q17" si="4">O17*P17</f>
        <v>303.2</v>
      </c>
    </row>
    <row r="18" spans="1:17" ht="16" thickBot="1" x14ac:dyDescent="0.25">
      <c r="B18" s="71"/>
      <c r="C18" s="71"/>
      <c r="D18" s="71"/>
      <c r="E18" s="71"/>
      <c r="H18" t="s">
        <v>39</v>
      </c>
      <c r="I18">
        <v>10</v>
      </c>
      <c r="J18" s="28">
        <v>36</v>
      </c>
      <c r="K18" s="28">
        <f t="shared" si="3"/>
        <v>360</v>
      </c>
      <c r="N18" t="s">
        <v>39</v>
      </c>
      <c r="O18">
        <v>10</v>
      </c>
      <c r="P18" s="28">
        <v>36</v>
      </c>
      <c r="Q18" s="28">
        <f>O18*P18</f>
        <v>360</v>
      </c>
    </row>
    <row r="19" spans="1:17" ht="16" thickBot="1" x14ac:dyDescent="0.25">
      <c r="B19" s="71"/>
      <c r="C19" s="71"/>
      <c r="D19" s="71"/>
      <c r="E19" s="71"/>
      <c r="H19" s="35" t="s">
        <v>24</v>
      </c>
      <c r="I19" s="36">
        <f>12*I16</f>
        <v>192</v>
      </c>
      <c r="J19" s="69" t="s">
        <v>40</v>
      </c>
      <c r="K19" s="70"/>
      <c r="N19" s="35" t="s">
        <v>30</v>
      </c>
      <c r="O19" s="36">
        <f>12*O17</f>
        <v>192</v>
      </c>
      <c r="P19" s="37"/>
      <c r="Q19" s="38"/>
    </row>
    <row r="20" spans="1:17" x14ac:dyDescent="0.2">
      <c r="B20" s="71"/>
      <c r="C20" s="71"/>
      <c r="D20" s="71"/>
      <c r="E20" s="71"/>
      <c r="H20" s="46" t="s">
        <v>29</v>
      </c>
      <c r="I20" s="47">
        <f>K20/I19</f>
        <v>7.0515625000000002</v>
      </c>
      <c r="J20" s="47" t="s">
        <v>23</v>
      </c>
      <c r="K20" s="47">
        <f>SUM(K15:K18)</f>
        <v>1353.9</v>
      </c>
      <c r="N20" s="46" t="s">
        <v>29</v>
      </c>
      <c r="O20" s="47">
        <f>Q20/O19</f>
        <v>5.0098958333333332</v>
      </c>
      <c r="P20" s="47" t="s">
        <v>23</v>
      </c>
      <c r="Q20" s="47">
        <f>SUM(Q16:Q18)</f>
        <v>961.9</v>
      </c>
    </row>
    <row r="21" spans="1:17" x14ac:dyDescent="0.2">
      <c r="B21" s="71"/>
      <c r="C21" s="71"/>
      <c r="D21" s="71"/>
      <c r="E21" s="71"/>
      <c r="H21" s="45" t="s">
        <v>32</v>
      </c>
      <c r="I21" s="45">
        <v>200</v>
      </c>
      <c r="J21" s="64" t="s">
        <v>28</v>
      </c>
      <c r="K21" s="64"/>
      <c r="N21" s="45" t="s">
        <v>32</v>
      </c>
      <c r="O21" s="45">
        <v>200</v>
      </c>
      <c r="P21" s="64" t="s">
        <v>28</v>
      </c>
      <c r="Q21" s="64"/>
    </row>
    <row r="22" spans="1:17" x14ac:dyDescent="0.2">
      <c r="B22" s="55"/>
      <c r="C22" s="55"/>
      <c r="D22" s="55"/>
      <c r="E22" s="55"/>
      <c r="H22" s="62" t="s">
        <v>31</v>
      </c>
      <c r="I22" s="62"/>
      <c r="J22" s="63">
        <f>K20/160</f>
        <v>8.4618750000000009</v>
      </c>
      <c r="K22" s="63"/>
      <c r="N22" s="62" t="s">
        <v>31</v>
      </c>
      <c r="O22" s="62"/>
      <c r="P22" s="51">
        <f>Q20/160</f>
        <v>6.0118749999999999</v>
      </c>
      <c r="Q22" s="51"/>
    </row>
    <row r="24" spans="1:17" x14ac:dyDescent="0.2">
      <c r="A24" s="61" t="s">
        <v>41</v>
      </c>
      <c r="B24" t="s">
        <v>74</v>
      </c>
      <c r="D24"/>
      <c r="E24"/>
      <c r="F24"/>
      <c r="G24" s="61" t="s">
        <v>41</v>
      </c>
      <c r="J24"/>
      <c r="K24"/>
      <c r="L24"/>
      <c r="M24" s="61" t="s">
        <v>41</v>
      </c>
      <c r="N24" t="s">
        <v>74</v>
      </c>
      <c r="P24">
        <v>588</v>
      </c>
      <c r="Q24"/>
    </row>
    <row r="25" spans="1:17" x14ac:dyDescent="0.2">
      <c r="A25" s="59" t="s">
        <v>10</v>
      </c>
      <c r="B25" t="s">
        <v>75</v>
      </c>
      <c r="F25"/>
      <c r="G25" s="59" t="s">
        <v>76</v>
      </c>
      <c r="L25"/>
      <c r="M25" s="59" t="s">
        <v>76</v>
      </c>
      <c r="N25" t="s">
        <v>75</v>
      </c>
      <c r="P25">
        <v>588</v>
      </c>
    </row>
    <row r="26" spans="1:17" x14ac:dyDescent="0.2">
      <c r="A26" s="59" t="s">
        <v>77</v>
      </c>
      <c r="B26" t="s">
        <v>78</v>
      </c>
      <c r="F26"/>
      <c r="G26" s="59" t="s">
        <v>79</v>
      </c>
      <c r="L26"/>
      <c r="M26" s="59" t="s">
        <v>79</v>
      </c>
      <c r="N26" t="s">
        <v>78</v>
      </c>
      <c r="P26">
        <v>588</v>
      </c>
    </row>
    <row r="27" spans="1:17" x14ac:dyDescent="0.2">
      <c r="B27" s="76" t="s">
        <v>80</v>
      </c>
      <c r="C27" s="76"/>
      <c r="D27" s="76"/>
      <c r="E27" s="76"/>
      <c r="F27"/>
      <c r="L27"/>
      <c r="N27" s="76" t="s">
        <v>80</v>
      </c>
      <c r="O27" s="76"/>
      <c r="P27" s="76"/>
      <c r="Q27" s="76"/>
    </row>
    <row r="28" spans="1:17" x14ac:dyDescent="0.2">
      <c r="B28" s="76"/>
      <c r="C28" s="76"/>
      <c r="D28" s="76"/>
      <c r="E28" s="76"/>
      <c r="F28"/>
      <c r="L28"/>
      <c r="N28" s="76"/>
      <c r="O28" s="76"/>
      <c r="P28" s="76"/>
      <c r="Q28" s="76"/>
    </row>
    <row r="29" spans="1:17" x14ac:dyDescent="0.2">
      <c r="F29"/>
      <c r="L29"/>
    </row>
    <row r="30" spans="1:17" x14ac:dyDescent="0.2">
      <c r="F30"/>
      <c r="L30"/>
    </row>
    <row r="31" spans="1:17" x14ac:dyDescent="0.2">
      <c r="F31"/>
      <c r="L31"/>
    </row>
    <row r="32" spans="1:17" x14ac:dyDescent="0.2">
      <c r="F32"/>
      <c r="L32"/>
    </row>
    <row r="33" spans="1:17" x14ac:dyDescent="0.2">
      <c r="F33"/>
      <c r="L33"/>
    </row>
    <row r="34" spans="1:17" x14ac:dyDescent="0.2">
      <c r="C34" s="25">
        <f>50+30+15</f>
        <v>95</v>
      </c>
      <c r="D34" s="54">
        <v>25</v>
      </c>
      <c r="E34" s="54">
        <f>C34*D34</f>
        <v>2375</v>
      </c>
      <c r="F34"/>
      <c r="I34" s="25">
        <v>200</v>
      </c>
      <c r="J34" s="54">
        <v>20</v>
      </c>
      <c r="K34" s="54">
        <f>I34*J34</f>
        <v>4000</v>
      </c>
      <c r="L34"/>
      <c r="O34" s="25">
        <v>200</v>
      </c>
      <c r="P34" s="54">
        <v>25</v>
      </c>
      <c r="Q34" s="54">
        <f>O34*P34</f>
        <v>5000</v>
      </c>
    </row>
    <row r="35" spans="1:17" x14ac:dyDescent="0.2">
      <c r="F35"/>
      <c r="L35"/>
    </row>
    <row r="36" spans="1:17" ht="15" customHeight="1" x14ac:dyDescent="0.2">
      <c r="F36"/>
      <c r="L36"/>
    </row>
    <row r="37" spans="1:17" ht="32" x14ac:dyDescent="0.2">
      <c r="A37" s="48" t="s">
        <v>43</v>
      </c>
      <c r="B37" t="s">
        <v>8</v>
      </c>
      <c r="C37">
        <v>3</v>
      </c>
      <c r="D37" s="28">
        <v>149.35</v>
      </c>
      <c r="E37" s="28">
        <f>C37*D37</f>
        <v>448.04999999999995</v>
      </c>
      <c r="G37" s="48" t="s">
        <v>43</v>
      </c>
      <c r="H37" t="s">
        <v>8</v>
      </c>
      <c r="I37">
        <v>3</v>
      </c>
      <c r="J37" s="28">
        <v>149.35</v>
      </c>
      <c r="K37" s="28">
        <f>I37*J37</f>
        <v>448.04999999999995</v>
      </c>
      <c r="M37" s="48" t="s">
        <v>44</v>
      </c>
      <c r="N37" t="s">
        <v>8</v>
      </c>
      <c r="O37">
        <v>3</v>
      </c>
      <c r="P37" s="28">
        <v>149.35</v>
      </c>
      <c r="Q37" s="28">
        <f>O37*P37</f>
        <v>448.04999999999995</v>
      </c>
    </row>
    <row r="38" spans="1:17" x14ac:dyDescent="0.2">
      <c r="A38" t="s">
        <v>10</v>
      </c>
      <c r="B38" t="s">
        <v>11</v>
      </c>
      <c r="C38">
        <v>2</v>
      </c>
      <c r="D38" s="28">
        <v>15.45</v>
      </c>
      <c r="E38" s="28">
        <f t="shared" ref="E38:E44" si="5">C38*D38</f>
        <v>30.9</v>
      </c>
      <c r="G38" s="26" t="s">
        <v>45</v>
      </c>
      <c r="H38" t="s">
        <v>11</v>
      </c>
      <c r="I38">
        <v>2</v>
      </c>
      <c r="J38" s="28">
        <v>15.45</v>
      </c>
      <c r="K38" s="28">
        <f t="shared" ref="K38:K43" si="6">I38*J38</f>
        <v>30.9</v>
      </c>
      <c r="M38" s="59" t="s">
        <v>46</v>
      </c>
      <c r="N38" t="s">
        <v>11</v>
      </c>
      <c r="O38">
        <v>2</v>
      </c>
      <c r="P38" s="28">
        <v>15.45</v>
      </c>
      <c r="Q38" s="28">
        <f t="shared" ref="Q38:Q44" si="7">O38*P38</f>
        <v>30.9</v>
      </c>
    </row>
    <row r="39" spans="1:17" x14ac:dyDescent="0.2">
      <c r="A39" s="59" t="s">
        <v>47</v>
      </c>
      <c r="B39" t="s">
        <v>14</v>
      </c>
      <c r="C39">
        <v>2</v>
      </c>
      <c r="D39" s="28">
        <v>37.5</v>
      </c>
      <c r="E39" s="28">
        <f t="shared" si="5"/>
        <v>75</v>
      </c>
      <c r="G39" s="27">
        <v>0.625</v>
      </c>
      <c r="H39" t="s">
        <v>14</v>
      </c>
      <c r="I39">
        <v>2</v>
      </c>
      <c r="J39" s="28">
        <v>37.5</v>
      </c>
      <c r="K39" s="28">
        <f t="shared" si="6"/>
        <v>75</v>
      </c>
      <c r="M39" s="59" t="s">
        <v>47</v>
      </c>
      <c r="N39" t="s">
        <v>14</v>
      </c>
      <c r="O39">
        <v>2</v>
      </c>
      <c r="P39" s="28">
        <v>37.5</v>
      </c>
      <c r="Q39" s="28">
        <f t="shared" si="7"/>
        <v>75</v>
      </c>
    </row>
    <row r="40" spans="1:17" x14ac:dyDescent="0.2">
      <c r="B40" t="s">
        <v>48</v>
      </c>
      <c r="D40" s="28">
        <v>37.5</v>
      </c>
      <c r="E40" s="28">
        <f t="shared" si="5"/>
        <v>0</v>
      </c>
      <c r="H40" t="s">
        <v>48</v>
      </c>
      <c r="J40" s="28">
        <v>37.5</v>
      </c>
      <c r="K40" s="28">
        <f t="shared" si="6"/>
        <v>0</v>
      </c>
      <c r="M40" s="59"/>
      <c r="N40" t="s">
        <v>48</v>
      </c>
      <c r="P40" s="28">
        <v>37.5</v>
      </c>
      <c r="Q40" s="28">
        <f t="shared" si="7"/>
        <v>0</v>
      </c>
    </row>
    <row r="41" spans="1:17" x14ac:dyDescent="0.2">
      <c r="B41" t="s">
        <v>49</v>
      </c>
      <c r="C41">
        <v>6</v>
      </c>
      <c r="D41" s="28">
        <v>54</v>
      </c>
      <c r="E41" s="28">
        <f t="shared" si="5"/>
        <v>324</v>
      </c>
      <c r="H41" t="s">
        <v>49</v>
      </c>
      <c r="I41">
        <v>6</v>
      </c>
      <c r="J41" s="28">
        <v>54</v>
      </c>
      <c r="K41" s="28">
        <f t="shared" si="6"/>
        <v>324</v>
      </c>
      <c r="N41" t="s">
        <v>49</v>
      </c>
      <c r="O41">
        <v>6</v>
      </c>
      <c r="P41" s="28">
        <v>54</v>
      </c>
      <c r="Q41" s="28">
        <f t="shared" si="7"/>
        <v>324</v>
      </c>
    </row>
    <row r="42" spans="1:17" x14ac:dyDescent="0.2">
      <c r="B42" t="s">
        <v>50</v>
      </c>
      <c r="C42">
        <v>4</v>
      </c>
      <c r="D42" s="28">
        <v>98</v>
      </c>
      <c r="E42" s="28">
        <f t="shared" si="5"/>
        <v>392</v>
      </c>
      <c r="H42" t="s">
        <v>50</v>
      </c>
      <c r="I42">
        <v>4</v>
      </c>
      <c r="J42" s="28">
        <v>98</v>
      </c>
      <c r="K42" s="28">
        <f t="shared" si="6"/>
        <v>392</v>
      </c>
      <c r="N42" t="s">
        <v>50</v>
      </c>
      <c r="O42">
        <v>4</v>
      </c>
      <c r="P42" s="28">
        <v>98</v>
      </c>
      <c r="Q42" s="28">
        <f t="shared" si="7"/>
        <v>392</v>
      </c>
    </row>
    <row r="43" spans="1:17" x14ac:dyDescent="0.2">
      <c r="B43" t="s">
        <v>16</v>
      </c>
      <c r="C43">
        <v>10</v>
      </c>
      <c r="D43" s="28">
        <v>36</v>
      </c>
      <c r="E43" s="28">
        <f t="shared" si="5"/>
        <v>360</v>
      </c>
      <c r="H43" t="s">
        <v>16</v>
      </c>
      <c r="I43">
        <v>10</v>
      </c>
      <c r="J43" s="28">
        <v>36</v>
      </c>
      <c r="K43" s="28">
        <f t="shared" si="6"/>
        <v>360</v>
      </c>
      <c r="N43" t="s">
        <v>16</v>
      </c>
      <c r="O43">
        <v>10</v>
      </c>
      <c r="P43" s="28">
        <v>36</v>
      </c>
      <c r="Q43" s="28">
        <f t="shared" si="7"/>
        <v>360</v>
      </c>
    </row>
    <row r="44" spans="1:17" ht="16" thickBot="1" x14ac:dyDescent="0.25">
      <c r="B44" t="s">
        <v>51</v>
      </c>
      <c r="C44">
        <v>16</v>
      </c>
      <c r="D44" s="28">
        <v>18.95</v>
      </c>
      <c r="E44" s="28">
        <f t="shared" si="5"/>
        <v>303.2</v>
      </c>
      <c r="H44" t="s">
        <v>52</v>
      </c>
      <c r="I44">
        <v>8</v>
      </c>
      <c r="J44" s="28">
        <v>36</v>
      </c>
      <c r="K44" s="28">
        <f>I44*J44</f>
        <v>288</v>
      </c>
      <c r="N44" t="s">
        <v>51</v>
      </c>
      <c r="O44">
        <v>16</v>
      </c>
      <c r="P44" s="28">
        <v>18.95</v>
      </c>
      <c r="Q44" s="28">
        <f t="shared" si="7"/>
        <v>303.2</v>
      </c>
    </row>
    <row r="45" spans="1:17" ht="29" customHeight="1" thickBot="1" x14ac:dyDescent="0.25">
      <c r="B45" s="42" t="s">
        <v>19</v>
      </c>
      <c r="C45" s="43">
        <f>12*C44</f>
        <v>192</v>
      </c>
      <c r="D45" s="67" t="s">
        <v>20</v>
      </c>
      <c r="E45" s="68"/>
      <c r="H45" t="s">
        <v>51</v>
      </c>
      <c r="I45">
        <v>8</v>
      </c>
      <c r="J45" s="28">
        <v>18.95</v>
      </c>
      <c r="K45" s="28">
        <f>I45*J45</f>
        <v>151.6</v>
      </c>
      <c r="N45" s="42" t="s">
        <v>19</v>
      </c>
      <c r="O45" s="43">
        <f>O44*12</f>
        <v>192</v>
      </c>
      <c r="P45" s="67" t="s">
        <v>20</v>
      </c>
      <c r="Q45" s="72"/>
    </row>
    <row r="46" spans="1:17" ht="29" customHeight="1" thickBot="1" x14ac:dyDescent="0.25">
      <c r="B46" s="46" t="s">
        <v>29</v>
      </c>
      <c r="C46" s="47">
        <f>E46/C45</f>
        <v>10.068489583333333</v>
      </c>
      <c r="D46" s="47" t="s">
        <v>23</v>
      </c>
      <c r="E46" s="47">
        <f>SUM(E37:E44)</f>
        <v>1933.1499999999999</v>
      </c>
      <c r="H46" s="42" t="s">
        <v>19</v>
      </c>
      <c r="I46" s="43">
        <f>12*(I45+I44)</f>
        <v>192</v>
      </c>
      <c r="J46" s="67" t="s">
        <v>20</v>
      </c>
      <c r="K46" s="72"/>
      <c r="N46" s="46" t="s">
        <v>29</v>
      </c>
      <c r="O46" s="47">
        <f>Q46/O45</f>
        <v>10.068489583333333</v>
      </c>
      <c r="P46" s="47" t="s">
        <v>23</v>
      </c>
      <c r="Q46" s="47">
        <f>SUM(Q37:Q44)</f>
        <v>1933.1499999999999</v>
      </c>
    </row>
    <row r="47" spans="1:17" ht="18" customHeight="1" x14ac:dyDescent="0.2">
      <c r="B47" s="45" t="s">
        <v>32</v>
      </c>
      <c r="C47" s="45">
        <v>200</v>
      </c>
      <c r="D47" s="64" t="s">
        <v>28</v>
      </c>
      <c r="E47" s="64"/>
      <c r="H47" s="46" t="s">
        <v>29</v>
      </c>
      <c r="I47" s="47">
        <f>K47/I46</f>
        <v>10.778906249999999</v>
      </c>
      <c r="J47" s="47" t="s">
        <v>23</v>
      </c>
      <c r="K47" s="47">
        <f>SUM(K37:K45)</f>
        <v>2069.5499999999997</v>
      </c>
      <c r="N47" s="45" t="s">
        <v>32</v>
      </c>
      <c r="O47" s="45">
        <v>200</v>
      </c>
      <c r="P47" s="64" t="s">
        <v>28</v>
      </c>
      <c r="Q47" s="64"/>
    </row>
    <row r="48" spans="1:17" ht="17" customHeight="1" x14ac:dyDescent="0.2">
      <c r="B48" s="62" t="s">
        <v>31</v>
      </c>
      <c r="C48" s="62"/>
      <c r="D48" s="63">
        <f>E46/160</f>
        <v>12.0821875</v>
      </c>
      <c r="E48" s="63"/>
      <c r="H48" s="45" t="s">
        <v>32</v>
      </c>
      <c r="I48" s="45">
        <v>200</v>
      </c>
      <c r="J48" s="64" t="s">
        <v>28</v>
      </c>
      <c r="K48" s="64"/>
      <c r="N48" s="62" t="s">
        <v>31</v>
      </c>
      <c r="O48" s="62"/>
      <c r="P48" s="63">
        <f>Q46/160</f>
        <v>12.0821875</v>
      </c>
      <c r="Q48" s="63"/>
    </row>
    <row r="49" spans="1:17" ht="15" customHeight="1" x14ac:dyDescent="0.2">
      <c r="A49" s="30"/>
      <c r="B49" s="31"/>
      <c r="C49" s="31"/>
      <c r="D49" s="32"/>
      <c r="E49" s="32"/>
      <c r="F49" s="41"/>
      <c r="G49" s="30"/>
      <c r="H49" s="62" t="s">
        <v>31</v>
      </c>
      <c r="I49" s="62"/>
      <c r="J49" s="51">
        <f>K47/160</f>
        <v>12.934687499999999</v>
      </c>
      <c r="K49" s="51"/>
      <c r="L49" s="41"/>
      <c r="M49" s="30"/>
    </row>
    <row r="50" spans="1:17" ht="15" customHeight="1" x14ac:dyDescent="0.2">
      <c r="A50" s="1" t="s">
        <v>53</v>
      </c>
      <c r="E50" s="28">
        <f>SUM(E46,E9,E34)</f>
        <v>4947.7999999999993</v>
      </c>
      <c r="K50" s="28">
        <f>SUM(K47,K10,K34,K20)</f>
        <v>9055.9</v>
      </c>
      <c r="Q50" s="28">
        <f>SUM(Q46,Q34,Q20,Q11)</f>
        <v>9527.5</v>
      </c>
    </row>
    <row r="51" spans="1:17" ht="15" customHeight="1" x14ac:dyDescent="0.2">
      <c r="A51" s="1" t="s">
        <v>54</v>
      </c>
      <c r="E51" s="28">
        <f>E50*0.13</f>
        <v>643.21399999999994</v>
      </c>
      <c r="K51" s="28">
        <f>K50*0.13</f>
        <v>1177.2670000000001</v>
      </c>
      <c r="Q51" s="28">
        <f>Q50*0.13</f>
        <v>1238.575</v>
      </c>
    </row>
    <row r="52" spans="1:17" ht="15" customHeight="1" x14ac:dyDescent="0.2">
      <c r="A52" s="1" t="s">
        <v>55</v>
      </c>
      <c r="E52" s="28">
        <f>E50+E51</f>
        <v>5591.0139999999992</v>
      </c>
      <c r="K52" s="28">
        <f>K50+K51</f>
        <v>10233.166999999999</v>
      </c>
      <c r="Q52" s="28">
        <f>Q50+Q51</f>
        <v>10766.075000000001</v>
      </c>
    </row>
    <row r="54" spans="1:17" ht="15" customHeight="1" thickBot="1" x14ac:dyDescent="0.25"/>
    <row r="55" spans="1:17" ht="15" customHeight="1" thickBot="1" x14ac:dyDescent="0.25">
      <c r="A55" s="33" t="s">
        <v>56</v>
      </c>
      <c r="B55" s="34">
        <f>SUM(E52,K52,Q52)</f>
        <v>26590.256000000001</v>
      </c>
      <c r="C55" s="73" t="s">
        <v>57</v>
      </c>
      <c r="D55" s="73"/>
    </row>
    <row r="56" spans="1:17" ht="15" customHeight="1" x14ac:dyDescent="0.2">
      <c r="A56" s="9" t="s">
        <v>58</v>
      </c>
      <c r="B56" s="9">
        <v>160</v>
      </c>
      <c r="C56" s="73"/>
      <c r="D56" s="73"/>
    </row>
    <row r="57" spans="1:17" ht="63" customHeight="1" x14ac:dyDescent="0.2">
      <c r="A57" s="57" t="s">
        <v>59</v>
      </c>
      <c r="B57" s="58">
        <f>B55/B56</f>
        <v>166.1891</v>
      </c>
      <c r="C57" s="73"/>
      <c r="D57" s="73"/>
    </row>
    <row r="58" spans="1:17" ht="30" customHeight="1" x14ac:dyDescent="0.2">
      <c r="A58" s="23" t="s">
        <v>60</v>
      </c>
      <c r="B58" s="56">
        <f>160-B57</f>
        <v>-6.1890999999999963</v>
      </c>
      <c r="C58" s="74">
        <f>(160*160)-B55</f>
        <v>-990.25600000000122</v>
      </c>
      <c r="D58" s="75"/>
    </row>
  </sheetData>
  <mergeCells count="35">
    <mergeCell ref="P12:Q12"/>
    <mergeCell ref="N13:O13"/>
    <mergeCell ref="B11:C11"/>
    <mergeCell ref="D11:E11"/>
    <mergeCell ref="J11:K11"/>
    <mergeCell ref="H12:I12"/>
    <mergeCell ref="J12:K12"/>
    <mergeCell ref="P13:Q13"/>
    <mergeCell ref="R2:U8"/>
    <mergeCell ref="D8:E8"/>
    <mergeCell ref="J9:K9"/>
    <mergeCell ref="D10:E10"/>
    <mergeCell ref="P10:Q10"/>
    <mergeCell ref="C58:D58"/>
    <mergeCell ref="H49:I49"/>
    <mergeCell ref="C55:D57"/>
    <mergeCell ref="N27:Q28"/>
    <mergeCell ref="B27:E28"/>
    <mergeCell ref="D47:E47"/>
    <mergeCell ref="P47:Q47"/>
    <mergeCell ref="B48:C48"/>
    <mergeCell ref="D48:E48"/>
    <mergeCell ref="J48:K48"/>
    <mergeCell ref="N48:O48"/>
    <mergeCell ref="P48:Q48"/>
    <mergeCell ref="D45:E45"/>
    <mergeCell ref="P45:Q45"/>
    <mergeCell ref="J46:K46"/>
    <mergeCell ref="B15:E21"/>
    <mergeCell ref="J19:K19"/>
    <mergeCell ref="J21:K21"/>
    <mergeCell ref="P21:Q21"/>
    <mergeCell ref="H22:I22"/>
    <mergeCell ref="J22:K22"/>
    <mergeCell ref="N22:O22"/>
  </mergeCells>
  <conditionalFormatting sqref="B58">
    <cfRule type="expression" dxfId="29" priority="2" stopIfTrue="1">
      <formula>$B$58&lt;0</formula>
    </cfRule>
    <cfRule type="expression" dxfId="28" priority="24" stopIfTrue="1">
      <formula>$B$58&gt;0</formula>
    </cfRule>
  </conditionalFormatting>
  <conditionalFormatting sqref="C58:D58">
    <cfRule type="expression" dxfId="27" priority="1">
      <formula>$B$57&gt;160</formula>
    </cfRule>
  </conditionalFormatting>
  <conditionalFormatting sqref="D10:E10">
    <cfRule type="expression" dxfId="26" priority="27" stopIfTrue="1">
      <formula>$C$8&gt;=($C$10+-($C$10*0.1))</formula>
    </cfRule>
    <cfRule type="expression" dxfId="25" priority="28">
      <formula>$C$10&gt;$C$8</formula>
    </cfRule>
  </conditionalFormatting>
  <conditionalFormatting sqref="D47:E47">
    <cfRule type="expression" dxfId="24" priority="4" stopIfTrue="1">
      <formula>C45&gt;=(C47+-(C47*0.1))</formula>
    </cfRule>
    <cfRule type="expression" dxfId="23" priority="5">
      <formula>C47&gt;C45</formula>
    </cfRule>
  </conditionalFormatting>
  <conditionalFormatting sqref="E2:E7">
    <cfRule type="top10" dxfId="22" priority="19" stopIfTrue="1" rank="1"/>
  </conditionalFormatting>
  <conditionalFormatting sqref="E37:E44">
    <cfRule type="top10" dxfId="21" priority="18" stopIfTrue="1" rank="1"/>
  </conditionalFormatting>
  <conditionalFormatting sqref="J48">
    <cfRule type="expression" dxfId="20" priority="6" stopIfTrue="1">
      <formula>I46&gt;=(I48+-(I48*0.1))</formula>
    </cfRule>
    <cfRule type="expression" dxfId="19" priority="7">
      <formula>I48&gt;I46</formula>
    </cfRule>
  </conditionalFormatting>
  <conditionalFormatting sqref="J11:K11">
    <cfRule type="expression" dxfId="18" priority="25" stopIfTrue="1">
      <formula>$I$9&gt;=($I$11+-($I$11*0.1))</formula>
    </cfRule>
    <cfRule type="expression" dxfId="17" priority="26">
      <formula>$I$11&gt;$I$9</formula>
    </cfRule>
  </conditionalFormatting>
  <conditionalFormatting sqref="J21:K21">
    <cfRule type="expression" dxfId="16" priority="12" stopIfTrue="1">
      <formula>I19&gt;=(I21+-(I21*0.1))</formula>
    </cfRule>
    <cfRule type="expression" dxfId="15" priority="13">
      <formula>I21&gt;I19</formula>
    </cfRule>
  </conditionalFormatting>
  <conditionalFormatting sqref="K2:K8">
    <cfRule type="top10" dxfId="14" priority="22" rank="1"/>
    <cfRule type="top10" dxfId="13" priority="23" stopIfTrue="1" rank="1"/>
  </conditionalFormatting>
  <conditionalFormatting sqref="K15:K18">
    <cfRule type="top10" dxfId="12" priority="17" stopIfTrue="1" rank="1"/>
  </conditionalFormatting>
  <conditionalFormatting sqref="K37:K43 K45">
    <cfRule type="top10" dxfId="11" priority="29" stopIfTrue="1" rank="1"/>
  </conditionalFormatting>
  <conditionalFormatting sqref="P21">
    <cfRule type="expression" dxfId="10" priority="10" stopIfTrue="1">
      <formula>O19&gt;=(O21+-(O21*0.1))</formula>
    </cfRule>
    <cfRule type="expression" dxfId="9" priority="11">
      <formula>O21&gt;O19</formula>
    </cfRule>
  </conditionalFormatting>
  <conditionalFormatting sqref="P47">
    <cfRule type="expression" dxfId="8" priority="8" stopIfTrue="1">
      <formula>O45&gt;=(O47+-(O47*0.1))</formula>
    </cfRule>
    <cfRule type="expression" dxfId="7" priority="9">
      <formula>O47&gt;O45</formula>
    </cfRule>
  </conditionalFormatting>
  <conditionalFormatting sqref="P12:Q12">
    <cfRule type="expression" dxfId="6" priority="15" stopIfTrue="1">
      <formula>$O10&gt;=($O12+-($O12*0.1))</formula>
    </cfRule>
    <cfRule type="expression" dxfId="5" priority="16">
      <formula>$O12&gt;$O10</formula>
    </cfRule>
  </conditionalFormatting>
  <conditionalFormatting sqref="Q2:Q9">
    <cfRule type="top10" dxfId="4" priority="20" stopIfTrue="1" rank="1"/>
  </conditionalFormatting>
  <conditionalFormatting sqref="Q15">
    <cfRule type="top10" dxfId="3" priority="14" stopIfTrue="1" rank="1"/>
  </conditionalFormatting>
  <conditionalFormatting sqref="Q15:Q16 Q18">
    <cfRule type="top10" dxfId="2" priority="30" rank="1"/>
  </conditionalFormatting>
  <conditionalFormatting sqref="Q17">
    <cfRule type="top10" dxfId="1" priority="3" stopIfTrue="1" rank="1"/>
  </conditionalFormatting>
  <conditionalFormatting sqref="Q37:Q44 K44">
    <cfRule type="top10" dxfId="0" priority="21" stopIfTrue="1" rank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94294CB887F42BEEB8F68FE8A24CE" ma:contentTypeVersion="13" ma:contentTypeDescription="Create a new document." ma:contentTypeScope="" ma:versionID="a8ca079e182ddfc12ee31dc9cb9b7f46">
  <xsd:schema xmlns:xsd="http://www.w3.org/2001/XMLSchema" xmlns:xs="http://www.w3.org/2001/XMLSchema" xmlns:p="http://schemas.microsoft.com/office/2006/metadata/properties" xmlns:ns2="4f66800e-b8c8-4f1d-9966-46ed6851c537" xmlns:ns3="ac658da9-eddc-40b3-a3e4-f4ed2eb4c2ea" targetNamespace="http://schemas.microsoft.com/office/2006/metadata/properties" ma:root="true" ma:fieldsID="1bd2490ebfad810c670ff89d61b25ee3" ns2:_="" ns3:_="">
    <xsd:import namespace="4f66800e-b8c8-4f1d-9966-46ed6851c537"/>
    <xsd:import namespace="ac658da9-eddc-40b3-a3e4-f4ed2eb4c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o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0e-b8c8-4f1d-9966-46ed6851c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ogo" ma:index="18" nillable="true" ma:displayName="Logo " ma:format="Dropdown" ma:internalName="Logo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8da9-eddc-40b3-a3e4-f4ed2eb4c2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5c88de9-26ca-44be-82ce-33109b6030b3}" ma:internalName="TaxCatchAll" ma:showField="CatchAllData" ma:web="ac658da9-eddc-40b3-a3e4-f4ed2eb4c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66800e-b8c8-4f1d-9966-46ed6851c537">
      <Terms xmlns="http://schemas.microsoft.com/office/infopath/2007/PartnerControls"/>
    </lcf76f155ced4ddcb4097134ff3c332f>
    <TaxCatchAll xmlns="ac658da9-eddc-40b3-a3e4-f4ed2eb4c2ea" xsi:nil="true"/>
    <Logo xmlns="4f66800e-b8c8-4f1d-9966-46ed6851c5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28C259-96EB-4694-AFCD-B44BEEEB8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66800e-b8c8-4f1d-9966-46ed6851c537"/>
    <ds:schemaRef ds:uri="ac658da9-eddc-40b3-a3e4-f4ed2eb4c2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1606B9-BF14-403B-AA4A-2FFBFDC65C61}">
  <ds:schemaRefs>
    <ds:schemaRef ds:uri="http://www.w3.org/XML/1998/namespace"/>
    <ds:schemaRef ds:uri="4f66800e-b8c8-4f1d-9966-46ed6851c537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ac658da9-eddc-40b3-a3e4-f4ed2eb4c2e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206B801-9675-420E-B99E-D6148C388E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 Cost</vt:lpstr>
      <vt:lpstr>Order Breakdown per Day</vt:lpstr>
      <vt:lpstr>Adjusted</vt:lpstr>
      <vt:lpstr>Lunches expanded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Lyllian Corbin</dc:creator>
  <cp:keywords/>
  <dc:description/>
  <cp:lastModifiedBy>Alex Wilder</cp:lastModifiedBy>
  <cp:revision/>
  <dcterms:created xsi:type="dcterms:W3CDTF">2026-03-05T06:05:49Z</dcterms:created>
  <dcterms:modified xsi:type="dcterms:W3CDTF">2026-04-20T23:28:21Z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0x01010044B94294CB887F42BEEB8F68FE8A24CE</vt:lpwstr>
  </property>
  <property fmtid="{D5CDD505-2E9C-101B-9397-08002B2CF9AE}" pid="3" name="MediaServiceImageTags">
    <vt:lpwstr/>
  </property>
</Properties>
</file>