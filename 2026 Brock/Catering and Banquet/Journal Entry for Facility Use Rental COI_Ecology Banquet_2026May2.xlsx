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rocku-my.sharepoint.com/personal/rcristofano_brocku_ca/Documents/!ROMINA!/ROMINA - OPERATIONS COORDINATOR/BROCK FACILITY RENTAL USE INSURANCE POLICY/THIRD-PARTY INDIVIDUALS - COIs/"/>
    </mc:Choice>
  </mc:AlternateContent>
  <xr:revisionPtr revIDLastSave="9" documentId="8_{08D7BA93-6758-4E4E-9C77-16970A456248}" xr6:coauthVersionLast="47" xr6:coauthVersionMax="47" xr10:uidLastSave="{682AAD64-CD83-4C04-9BC7-6E49DAAD8D1C}"/>
  <bookViews>
    <workbookView xWindow="29325" yWindow="2190" windowWidth="27165" windowHeight="13860" xr2:uid="{00000000-000D-0000-FFFF-FFFF00000000}"/>
  </bookViews>
  <sheets>
    <sheet name="Journal Entry Form" sheetId="1" r:id="rId1"/>
    <sheet name="Sheet1" sheetId="4" state="hidden" r:id="rId2"/>
    <sheet name="cost centre" sheetId="2" state="hidden" r:id="rId3"/>
    <sheet name="Fund" sheetId="3" state="hidden" r:id="rId4"/>
  </sheets>
  <definedNames>
    <definedName name="CostCentre">Table1[Cost Center]</definedName>
    <definedName name="Dimension">Sheet1!$A$2:$A$16</definedName>
    <definedName name="Fund">Fund!$A$3:$A$12</definedName>
    <definedName name="_xlnm.Print_Titles" localSheetId="0">'Journal Entry Form'!$2:$13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5" i="1" l="1"/>
  <c r="D26" i="1" s="1"/>
  <c r="C14" i="1"/>
  <c r="C26" i="1"/>
  <c r="K7" i="1" l="1"/>
</calcChain>
</file>

<file path=xl/sharedStrings.xml><?xml version="1.0" encoding="utf-8"?>
<sst xmlns="http://schemas.openxmlformats.org/spreadsheetml/2006/main" count="916" uniqueCount="637">
  <si>
    <r>
      <rPr>
        <sz val="20"/>
        <color theme="1"/>
        <rFont val="Trebuchet MS"/>
        <family val="2"/>
      </rPr>
      <t xml:space="preserve">Journal Entry Form  </t>
    </r>
    <r>
      <rPr>
        <sz val="18"/>
        <color theme="1"/>
        <rFont val="Trebuchet MS"/>
        <family val="2"/>
      </rPr>
      <t xml:space="preserve">                                                             </t>
    </r>
    <r>
      <rPr>
        <sz val="11"/>
        <color theme="1"/>
        <rFont val="Trebuchet MS"/>
        <family val="2"/>
      </rPr>
      <t xml:space="preserve">  </t>
    </r>
    <r>
      <rPr>
        <b/>
        <i/>
        <sz val="11"/>
        <color rgb="FFFF0000"/>
        <rFont val="Trebuchet MS"/>
        <family val="2"/>
      </rPr>
      <t xml:space="preserve">(Backup documentation is required) </t>
    </r>
  </si>
  <si>
    <t>Journal Information</t>
  </si>
  <si>
    <t xml:space="preserve">* - indicates a required field to complete </t>
  </si>
  <si>
    <t>Journal Details</t>
  </si>
  <si>
    <r>
      <rPr>
        <b/>
        <sz val="12"/>
        <color rgb="FFFF0000"/>
        <rFont val="Trebuchet MS"/>
        <family val="2"/>
      </rPr>
      <t>*</t>
    </r>
    <r>
      <rPr>
        <b/>
        <vertAlign val="superscript"/>
        <sz val="12"/>
        <rFont val="Trebuchet MS"/>
        <family val="2"/>
      </rPr>
      <t>1</t>
    </r>
    <r>
      <rPr>
        <b/>
        <sz val="12"/>
        <rFont val="Trebuchet MS"/>
        <family val="2"/>
      </rPr>
      <t>Transaction Date:</t>
    </r>
  </si>
  <si>
    <t xml:space="preserve">(recorded transaction date) </t>
  </si>
  <si>
    <t>Create Reversal (Yes/No)</t>
  </si>
  <si>
    <t>N/A</t>
  </si>
  <si>
    <t xml:space="preserve">Reversal Date </t>
  </si>
  <si>
    <t>Reason for Adjustment:</t>
  </si>
  <si>
    <t>Verify Debits = Credits (Yes/No)</t>
  </si>
  <si>
    <t xml:space="preserve">Memo: </t>
  </si>
  <si>
    <t>Journal Entry Lines</t>
  </si>
  <si>
    <t xml:space="preserve">Additional Worktags </t>
  </si>
  <si>
    <t>Ledger Account           (Finance Use Only)</t>
  </si>
  <si>
    <r>
      <rPr>
        <b/>
        <sz val="10"/>
        <color rgb="FFFF0000"/>
        <rFont val="Trebuchet MS"/>
        <family val="2"/>
      </rPr>
      <t>*</t>
    </r>
    <r>
      <rPr>
        <b/>
        <sz val="10"/>
        <rFont val="Trebuchet MS"/>
        <family val="2"/>
      </rPr>
      <t xml:space="preserve"> Debit Amount</t>
    </r>
  </si>
  <si>
    <r>
      <rPr>
        <b/>
        <sz val="10"/>
        <color rgb="FFFF0000"/>
        <rFont val="Trebuchet MS"/>
        <family val="2"/>
      </rPr>
      <t>*</t>
    </r>
    <r>
      <rPr>
        <b/>
        <sz val="10"/>
        <rFont val="Trebuchet MS"/>
        <family val="2"/>
      </rPr>
      <t xml:space="preserve"> Credit Amount</t>
    </r>
  </si>
  <si>
    <r>
      <rPr>
        <b/>
        <sz val="10"/>
        <color rgb="FFFF0000"/>
        <rFont val="Trebuchet MS"/>
        <family val="2"/>
      </rPr>
      <t>*</t>
    </r>
    <r>
      <rPr>
        <b/>
        <sz val="10"/>
        <rFont val="Trebuchet MS"/>
        <family val="2"/>
      </rPr>
      <t>Memo                                                                (include transaction Reference Number)</t>
    </r>
  </si>
  <si>
    <r>
      <rPr>
        <b/>
        <sz val="10"/>
        <color rgb="FFFF0000"/>
        <rFont val="Trebuchet MS"/>
        <family val="2"/>
      </rPr>
      <t>*</t>
    </r>
    <r>
      <rPr>
        <b/>
        <sz val="10"/>
        <rFont val="Trebuchet MS"/>
        <family val="2"/>
      </rPr>
      <t>Spend Category</t>
    </r>
  </si>
  <si>
    <r>
      <rPr>
        <b/>
        <sz val="10"/>
        <color rgb="FFFF0000"/>
        <rFont val="Trebuchet MS"/>
        <family val="2"/>
      </rPr>
      <t>*</t>
    </r>
    <r>
      <rPr>
        <b/>
        <sz val="10"/>
        <rFont val="Trebuchet MS"/>
        <family val="2"/>
      </rPr>
      <t>Revenue Category</t>
    </r>
  </si>
  <si>
    <t xml:space="preserve">Program </t>
  </si>
  <si>
    <t>Project</t>
  </si>
  <si>
    <t>Grant</t>
  </si>
  <si>
    <r>
      <rPr>
        <b/>
        <sz val="10"/>
        <color rgb="FFFF0000"/>
        <rFont val="Trebuchet MS"/>
        <family val="2"/>
      </rPr>
      <t>*</t>
    </r>
    <r>
      <rPr>
        <b/>
        <sz val="10"/>
        <rFont val="Trebuchet MS"/>
        <family val="2"/>
      </rPr>
      <t xml:space="preserve"> Cost Centre</t>
    </r>
  </si>
  <si>
    <r>
      <rPr>
        <b/>
        <sz val="10"/>
        <color rgb="FFFF0000"/>
        <rFont val="Trebuchet MS"/>
        <family val="2"/>
      </rPr>
      <t>*</t>
    </r>
    <r>
      <rPr>
        <b/>
        <sz val="10"/>
        <rFont val="Trebuchet MS"/>
        <family val="2"/>
      </rPr>
      <t xml:space="preserve">Fund </t>
    </r>
  </si>
  <si>
    <t xml:space="preserve">Dimension </t>
  </si>
  <si>
    <r>
      <t>Worktag</t>
    </r>
    <r>
      <rPr>
        <b/>
        <sz val="9"/>
        <rFont val="Trebuchet MS"/>
        <family val="2"/>
      </rPr>
      <t xml:space="preserve"> 
(corresponding to the noted dimension)</t>
    </r>
  </si>
  <si>
    <t xml:space="preserve">Total </t>
  </si>
  <si>
    <t>***additional lines can be added if needed</t>
  </si>
  <si>
    <t>Requestor (print)</t>
  </si>
  <si>
    <t>Requestor Title</t>
  </si>
  <si>
    <t>Extension</t>
  </si>
  <si>
    <t>Signature</t>
  </si>
  <si>
    <t>Date</t>
  </si>
  <si>
    <t>Approver (print)</t>
  </si>
  <si>
    <t>Approver Title</t>
  </si>
  <si>
    <t>1. Transaction Date should be the date that the charge was incurred (date the service was provided, or materials/supplies delivered)</t>
  </si>
  <si>
    <t>Instructions</t>
  </si>
  <si>
    <t>This form is used to request creation of a journal (formerly submitted as an account adjustment or transfer). Please note the following:</t>
  </si>
  <si>
    <t xml:space="preserve">1. Complete this form to request creation of a journal (formerly an account adjustment or transfer) between accounts, unless it is a Budget Adjustment, in which case the Budget Adjustment form is used (https://brocku.ca/finance/faculty-and-staff/forms). </t>
  </si>
  <si>
    <t xml:space="preserve">2. On completion of this form, email with supporting documentation to the Finance department (tchimenti@brocku.ca) or your Budget Officer. </t>
  </si>
  <si>
    <t>3. Refrain from requesting creation of a journal for less than $25.</t>
  </si>
  <si>
    <t>Fields in form</t>
  </si>
  <si>
    <t xml:space="preserve">Ledger Account </t>
  </si>
  <si>
    <t>Finance use only.</t>
  </si>
  <si>
    <t>Memo</t>
  </si>
  <si>
    <t>Include account line comment</t>
  </si>
  <si>
    <t>Spend Category</t>
  </si>
  <si>
    <t>To see a complete list of spend categories, type "Spend Category in Outline Form" in workday search to find the report.</t>
  </si>
  <si>
    <t>Revenue Category</t>
  </si>
  <si>
    <t>To see a complete list of revenue categories, type "Revenue Category in Outline Form" in workday search to find the report.</t>
  </si>
  <si>
    <t>Program</t>
  </si>
  <si>
    <t xml:space="preserve">Enter Program name only if applicable.  To see a complete list of programs, type "Programs in Outline Form" in Workday search to find the report.  </t>
  </si>
  <si>
    <t xml:space="preserve">Enter Project name only if applicable.  To see a complete list of projects, type "Projects in Outline Form" in Workday search to find the report.  </t>
  </si>
  <si>
    <t xml:space="preserve">Enter Grant name only if applicable.  To see a complete list of grants, type "Grants in Outline Form" in Workday search to find the report.  </t>
  </si>
  <si>
    <t>Cost Centre</t>
  </si>
  <si>
    <t>Select relevant Cost Centre from the drop down list.</t>
  </si>
  <si>
    <t>Fund</t>
  </si>
  <si>
    <t>Select Fund from drop down list.  In most cases, the Fund will be Operating, however, select applicable fund for entry.</t>
  </si>
  <si>
    <t>Dimension &amp; Worktag</t>
  </si>
  <si>
    <t>If applicable, select an additional dimension type in the "Dimension" field (for example: gift, level, region) and the corresponding dimesion value (ie: Undergraduate) in the "Worktag" field. If needed multiple "dimensions"/"worktags" for each transaction can be selected by using additonal lines.</t>
  </si>
  <si>
    <t xml:space="preserve">Dimension List </t>
  </si>
  <si>
    <t>Collaborative Spend</t>
  </si>
  <si>
    <t>Customer</t>
  </si>
  <si>
    <t>Debt</t>
  </si>
  <si>
    <t>Donor</t>
  </si>
  <si>
    <t>Expense Item</t>
  </si>
  <si>
    <t>Faculty</t>
  </si>
  <si>
    <t>Flowthrough</t>
  </si>
  <si>
    <t>Gift</t>
  </si>
  <si>
    <t>Investment/Petty Cash</t>
  </si>
  <si>
    <t>Level</t>
  </si>
  <si>
    <t>Location</t>
  </si>
  <si>
    <t>Procurement Item</t>
  </si>
  <si>
    <t>Region</t>
  </si>
  <si>
    <t>Semester</t>
  </si>
  <si>
    <t>Supplier</t>
  </si>
  <si>
    <t>Cost Center</t>
  </si>
  <si>
    <t>Reference ID Type</t>
  </si>
  <si>
    <t>Reference ID Value</t>
  </si>
  <si>
    <t>Taken from REF ID , cost centres, in Workday</t>
  </si>
  <si>
    <t>CC0100 Graduate Studies</t>
  </si>
  <si>
    <t>Organization_Reference_ID</t>
  </si>
  <si>
    <t>CC0100</t>
  </si>
  <si>
    <t>Date updated</t>
  </si>
  <si>
    <t>EW</t>
  </si>
  <si>
    <t>CC0200 Library</t>
  </si>
  <si>
    <t>CC0200</t>
  </si>
  <si>
    <t>CD</t>
  </si>
  <si>
    <t>CC0201 Library Acquisitions</t>
  </si>
  <si>
    <t>CC0201</t>
  </si>
  <si>
    <t>LP</t>
  </si>
  <si>
    <t>CC0300 Research Services</t>
  </si>
  <si>
    <t>CC0300</t>
  </si>
  <si>
    <t>SH</t>
  </si>
  <si>
    <t>CC0301 Animal Care</t>
  </si>
  <si>
    <t>CC0301</t>
  </si>
  <si>
    <t>TC</t>
  </si>
  <si>
    <t>CC0302 Research Ethics</t>
  </si>
  <si>
    <t>CC0302</t>
  </si>
  <si>
    <t>CC0303 Faculty Start-up, recruitment, relocation</t>
  </si>
  <si>
    <t>CC0303</t>
  </si>
  <si>
    <t>CC0304 Brock LINC</t>
  </si>
  <si>
    <t>CC0304</t>
  </si>
  <si>
    <t>CC0305 Cuvee</t>
  </si>
  <si>
    <t>CC0305</t>
  </si>
  <si>
    <t>CC0310 Brock-Niagara Validating, Prototyping and Manufacturing Institute (VPMI)</t>
  </si>
  <si>
    <t>CC0310</t>
  </si>
  <si>
    <t>CC0400 Brock Base Camp</t>
  </si>
  <si>
    <t>CC0400</t>
  </si>
  <si>
    <t>CC0402 Teaching &amp; Learning Advancement</t>
  </si>
  <si>
    <t>CC0402</t>
  </si>
  <si>
    <t>CC0450 Community Agreements</t>
  </si>
  <si>
    <t>CC0450</t>
  </si>
  <si>
    <t>CC0500 Office of The Registrar</t>
  </si>
  <si>
    <t>CC0500</t>
  </si>
  <si>
    <t>CC0501 Convocation</t>
  </si>
  <si>
    <t>CC0501</t>
  </si>
  <si>
    <t>CC0502 Enrolment Operations</t>
  </si>
  <si>
    <t>CC0502</t>
  </si>
  <si>
    <t>CC0503 Student Recruitment</t>
  </si>
  <si>
    <t>CC0503</t>
  </si>
  <si>
    <t>CC0504 Admissions</t>
  </si>
  <si>
    <t>CC0504</t>
  </si>
  <si>
    <t>CC0505 Student Awards And Financial Aid (SAFA)</t>
  </si>
  <si>
    <t>CC0505</t>
  </si>
  <si>
    <t>CC0506 Enrolment Supports</t>
  </si>
  <si>
    <t>CC0506</t>
  </si>
  <si>
    <t>CC0548 Student Life and Success</t>
  </si>
  <si>
    <t>CC0548</t>
  </si>
  <si>
    <t>CC0549 Student Affairs</t>
  </si>
  <si>
    <t>CC0549</t>
  </si>
  <si>
    <t>CC0552 Student Accessibility Services</t>
  </si>
  <si>
    <t>CC0552</t>
  </si>
  <si>
    <t>CC0556 Hadiyaˀdagénhahs First Nations, Métis and Inuit Student Centre</t>
  </si>
  <si>
    <t>CC0556</t>
  </si>
  <si>
    <t>CC0557 Health Services</t>
  </si>
  <si>
    <t>CC0557</t>
  </si>
  <si>
    <t>CC0558 Faith And Life Centre</t>
  </si>
  <si>
    <t>CC0558</t>
  </si>
  <si>
    <t>CC0559 Personal Counseling</t>
  </si>
  <si>
    <t>CC0559</t>
  </si>
  <si>
    <t>CC0560 Student Wellness &amp; Accessibility</t>
  </si>
  <si>
    <t>CC0560</t>
  </si>
  <si>
    <t>CC0561 Health Promotion</t>
  </si>
  <si>
    <t>CC0561</t>
  </si>
  <si>
    <t>CC0600 ESL - Intensive English Program</t>
  </si>
  <si>
    <t>CC0600</t>
  </si>
  <si>
    <t>CC0603 International Student Recruitment</t>
  </si>
  <si>
    <t>CC0603</t>
  </si>
  <si>
    <t>CC0605 International Services</t>
  </si>
  <si>
    <t>CC0605</t>
  </si>
  <si>
    <t>CC0606 Confucius Institute (inactive)</t>
  </si>
  <si>
    <t>CC0606</t>
  </si>
  <si>
    <t>CC0607 International Partnerships</t>
  </si>
  <si>
    <t>CC0607</t>
  </si>
  <si>
    <t>CC0610 Partnerships - Admin</t>
  </si>
  <si>
    <t>CC0610</t>
  </si>
  <si>
    <t>CC0650 Co-op, Career and Experiential Education - Admin</t>
  </si>
  <si>
    <t>CC0650</t>
  </si>
  <si>
    <t>CC0651 Co-Op Education</t>
  </si>
  <si>
    <t>CC0651</t>
  </si>
  <si>
    <t>CC0652 Career Education</t>
  </si>
  <si>
    <t>CC0652</t>
  </si>
  <si>
    <t>CC0653 Experiential Education</t>
  </si>
  <si>
    <t>CC0653</t>
  </si>
  <si>
    <t>CC0654 CCEE Centre of Excellence</t>
  </si>
  <si>
    <t>CC0654</t>
  </si>
  <si>
    <t>CC0655 Career Education - Goodman</t>
  </si>
  <si>
    <t>CC0655</t>
  </si>
  <si>
    <t>CC0656 CCEE Marketing and Events</t>
  </si>
  <si>
    <t>CC0656</t>
  </si>
  <si>
    <t>CC0700 Campus Recreation</t>
  </si>
  <si>
    <t>CC0700</t>
  </si>
  <si>
    <t>CC0701 The Zone</t>
  </si>
  <si>
    <t>CC0701</t>
  </si>
  <si>
    <t>CC0702 Facilities (Cage)</t>
  </si>
  <si>
    <t>CC0702</t>
  </si>
  <si>
    <t>CC0703 Aquatics</t>
  </si>
  <si>
    <t>CC0703</t>
  </si>
  <si>
    <t>CC0704 Brock Niagara Aquatics</t>
  </si>
  <si>
    <t>CC0704</t>
  </si>
  <si>
    <t>CC0705 Brock Recreation - Admin</t>
  </si>
  <si>
    <t>CC0705</t>
  </si>
  <si>
    <t>CC0750 Brock Sports - Admin</t>
  </si>
  <si>
    <t>CC0750</t>
  </si>
  <si>
    <t>CC0751 Student Referendum-Athletics (inactive)</t>
  </si>
  <si>
    <t>CC0751</t>
  </si>
  <si>
    <t>CC0752 Brock Sports Medicine</t>
  </si>
  <si>
    <t>CC0752</t>
  </si>
  <si>
    <t>CC0753 Fundraising Athletic Teams</t>
  </si>
  <si>
    <t>CC0753</t>
  </si>
  <si>
    <t>CC0754 Brock Sports Performance Center</t>
  </si>
  <si>
    <t>CC0754</t>
  </si>
  <si>
    <t>CC0755 Athletic teams - Sports Operations</t>
  </si>
  <si>
    <t>CC0755</t>
  </si>
  <si>
    <t>CC0756 Signature Series Events</t>
  </si>
  <si>
    <t>CC0756</t>
  </si>
  <si>
    <t>CC0757 Brock Sports &amp; Rec - Canada Games Park</t>
  </si>
  <si>
    <t>CC0757</t>
  </si>
  <si>
    <t>CC0758 Fundraising Athletic Clubs</t>
  </si>
  <si>
    <t>CC0758</t>
  </si>
  <si>
    <t>CC0759 Brock Sports Medicine - Canada Games Park</t>
  </si>
  <si>
    <t>CC0759</t>
  </si>
  <si>
    <t>CC1000 Board &amp; Senate</t>
  </si>
  <si>
    <t>CC1000</t>
  </si>
  <si>
    <t>CC1001 President's Office</t>
  </si>
  <si>
    <t>CC1001</t>
  </si>
  <si>
    <t>CC1002 Office of the VP Academic / Provost</t>
  </si>
  <si>
    <t>CC1002</t>
  </si>
  <si>
    <t>CC1003 Office of VP Administration</t>
  </si>
  <si>
    <t>CC1003</t>
  </si>
  <si>
    <t>CC1004 Office of the VP Research</t>
  </si>
  <si>
    <t>CC1004</t>
  </si>
  <si>
    <t>CC1005 Associate Vice-President, Students</t>
  </si>
  <si>
    <t>CC1005</t>
  </si>
  <si>
    <t>CC1006 Vice Provost/ AVP Academic</t>
  </si>
  <si>
    <t>CC1006</t>
  </si>
  <si>
    <t>CC1007 Vice-Provost Strategic Partnerships &amp; International (inactive)</t>
  </si>
  <si>
    <t>CC1007</t>
  </si>
  <si>
    <t>CC1009 13th Floor Executive Suites</t>
  </si>
  <si>
    <t>CC1009</t>
  </si>
  <si>
    <t>CC1010 Vice-Provost Indigenous Education and Community Engagement</t>
  </si>
  <si>
    <t>CC1010</t>
  </si>
  <si>
    <t>CC1011 Special Advisor (inactive)</t>
  </si>
  <si>
    <t>CC1011</t>
  </si>
  <si>
    <t>CC1012 Professional and Continuing Studies - Admin</t>
  </si>
  <si>
    <t>CC1012</t>
  </si>
  <si>
    <t>CC1013 Vice-Provost, Teaching and Learning</t>
  </si>
  <si>
    <t>CC1013</t>
  </si>
  <si>
    <t>CC1014 Professional and Continuing Studies - Programming</t>
  </si>
  <si>
    <t>CC1014</t>
  </si>
  <si>
    <t>CC1100 Project Administration &amp; Support</t>
  </si>
  <si>
    <t>CC1100</t>
  </si>
  <si>
    <t>CC1101 Infrastructure</t>
  </si>
  <si>
    <t>CC1101</t>
  </si>
  <si>
    <t>CC1102 Enterprise Solutions</t>
  </si>
  <si>
    <t>CC1102</t>
  </si>
  <si>
    <t>CC1103 Client Services</t>
  </si>
  <si>
    <t>CC1103</t>
  </si>
  <si>
    <t>CC1150 Financial Services</t>
  </si>
  <si>
    <t>CC1150</t>
  </si>
  <si>
    <t>CC1151 Procurement Services</t>
  </si>
  <si>
    <t>CC1151</t>
  </si>
  <si>
    <t>CC1152 Finance- University Wide</t>
  </si>
  <si>
    <t>CC1152</t>
  </si>
  <si>
    <t>CC1200 People and Culture</t>
  </si>
  <si>
    <t>CC1200</t>
  </si>
  <si>
    <t>CC1201 Health, Safety &amp; Wellness</t>
  </si>
  <si>
    <t>CC1201</t>
  </si>
  <si>
    <t>CC1202 Human Rights &amp; Equity</t>
  </si>
  <si>
    <t>CC1202</t>
  </si>
  <si>
    <t>CC1204 Office of the Ombudsperson</t>
  </si>
  <si>
    <t>CC1204</t>
  </si>
  <si>
    <t>CC1250 University Marketing &amp; Communications</t>
  </si>
  <si>
    <t>CC1250</t>
  </si>
  <si>
    <t>CC1255 AVP External Relations</t>
  </si>
  <si>
    <t>CC1255</t>
  </si>
  <si>
    <t>CC1300 Development &amp; Donor Relations</t>
  </si>
  <si>
    <t>CC1300</t>
  </si>
  <si>
    <t>CC1301 Alumni Relations</t>
  </si>
  <si>
    <t>CC1301</t>
  </si>
  <si>
    <t>CC1302 Annual Fund From Telegrad</t>
  </si>
  <si>
    <t>CC1302</t>
  </si>
  <si>
    <t>CC1303 Development &amp; Alumni Operations (inactive)</t>
  </si>
  <si>
    <t>CC1303</t>
  </si>
  <si>
    <t>CC1304 Alumni Association</t>
  </si>
  <si>
    <t>CC1304</t>
  </si>
  <si>
    <t>CC1305 Presidential Events</t>
  </si>
  <si>
    <t>CC1305</t>
  </si>
  <si>
    <t>CC1350 Central Receiving and Mail Services</t>
  </si>
  <si>
    <t>CC1350</t>
  </si>
  <si>
    <t>CC1351 Youth University - Operations</t>
  </si>
  <si>
    <t>CC1351</t>
  </si>
  <si>
    <t>CC1352 Visitor Services (inactive)</t>
  </si>
  <si>
    <t>CC1352</t>
  </si>
  <si>
    <t>CC1353 Printing and Digital Services</t>
  </si>
  <si>
    <t>CC1353</t>
  </si>
  <si>
    <t>CC1401 Government Relations</t>
  </si>
  <si>
    <t>CC1401</t>
  </si>
  <si>
    <t>CC1402 Office of University Secretariat</t>
  </si>
  <si>
    <t>CC1402</t>
  </si>
  <si>
    <t>CC1403 Internal Audit &amp; University Risk Management</t>
  </si>
  <si>
    <t>CC1403</t>
  </si>
  <si>
    <t>CC1404 Institutional Analysis</t>
  </si>
  <si>
    <t>CC1404</t>
  </si>
  <si>
    <t>CC1405 Legal, Compliance, and Privacy</t>
  </si>
  <si>
    <t>CC1405</t>
  </si>
  <si>
    <t>CC1500 AVP Ancillary Services</t>
  </si>
  <si>
    <t>CC1500</t>
  </si>
  <si>
    <t>CC1501 Campus Store</t>
  </si>
  <si>
    <t>CC1501</t>
  </si>
  <si>
    <t>CC1502 Parking Services</t>
  </si>
  <si>
    <t>CC1502</t>
  </si>
  <si>
    <t>CC1503 Conference Services</t>
  </si>
  <si>
    <t>CC1503</t>
  </si>
  <si>
    <t>CC1505 Brock Dining Services</t>
  </si>
  <si>
    <t>CC1505</t>
  </si>
  <si>
    <t>CC1550 Central Residence Administration</t>
  </si>
  <si>
    <t>CC1550</t>
  </si>
  <si>
    <t>CC1551 Quarryview Residence</t>
  </si>
  <si>
    <t>CC1551</t>
  </si>
  <si>
    <t>CC1552 Village Residence</t>
  </si>
  <si>
    <t>CC1552</t>
  </si>
  <si>
    <t>CC1553 Vallee Residence</t>
  </si>
  <si>
    <t>CC1553</t>
  </si>
  <si>
    <t>CC1554 Gateway Residence</t>
  </si>
  <si>
    <t>CC1554</t>
  </si>
  <si>
    <t>CC1555 DeCew Residence</t>
  </si>
  <si>
    <t>CC1555</t>
  </si>
  <si>
    <t>CC1556 Earp Residence</t>
  </si>
  <si>
    <t>CC1556</t>
  </si>
  <si>
    <t>CC1557 Lowenberger Residence</t>
  </si>
  <si>
    <t>CC1557</t>
  </si>
  <si>
    <t>CC1558 Loft Residence</t>
  </si>
  <si>
    <t>CC1558</t>
  </si>
  <si>
    <t>CC1559 Res 8 Residence</t>
  </si>
  <si>
    <t>CC1559</t>
  </si>
  <si>
    <t>CC1650 Residence Life Administration (inactive)</t>
  </si>
  <si>
    <t>CC1650</t>
  </si>
  <si>
    <t>CC1651 Residence Life Quarryview (inactive)</t>
  </si>
  <si>
    <t>CC1651</t>
  </si>
  <si>
    <t>CC1652 Residence Life Village (inactive)</t>
  </si>
  <si>
    <t>CC1652</t>
  </si>
  <si>
    <t>CC1653 Residence Life Vallee (inactive)</t>
  </si>
  <si>
    <t>CC1653</t>
  </si>
  <si>
    <t>CC1654 Residence Life Gateway (inactive)</t>
  </si>
  <si>
    <t>CC1654</t>
  </si>
  <si>
    <t>CC1655 Residence Life Decew (inactive)</t>
  </si>
  <si>
    <t>CC1655</t>
  </si>
  <si>
    <t>CC1656 Residence Life Earp (inactive)</t>
  </si>
  <si>
    <t>CC1656</t>
  </si>
  <si>
    <t>CC1657 Residence Life Lowenburger (inactive)</t>
  </si>
  <si>
    <t>CC1657</t>
  </si>
  <si>
    <t>CC1658 Residence Life Lofts (inactive)</t>
  </si>
  <si>
    <t>CC1658</t>
  </si>
  <si>
    <t>CC1800 Capital Planning and Project Management</t>
  </si>
  <si>
    <t>CC1800</t>
  </si>
  <si>
    <t>CC1801 CFHBRC Operating Costs</t>
  </si>
  <si>
    <t>CC1801</t>
  </si>
  <si>
    <t>CC1802 Facilities Management Admin</t>
  </si>
  <si>
    <t>CC1802</t>
  </si>
  <si>
    <t>CC1803 Maintenance - Grounds</t>
  </si>
  <si>
    <t>CC1803</t>
  </si>
  <si>
    <t>CC1805 MIWSFPA - Facilities Management</t>
  </si>
  <si>
    <t>CC1805</t>
  </si>
  <si>
    <t>CC1806 General Maintenance - Buildings</t>
  </si>
  <si>
    <t>CC1806</t>
  </si>
  <si>
    <t>CC1807 Custodial Services</t>
  </si>
  <si>
    <t>CC1807</t>
  </si>
  <si>
    <t>CC1808 Mechanical Maintenance – Buildings</t>
  </si>
  <si>
    <t>CC1808</t>
  </si>
  <si>
    <t>CC1809 Electrical Maintenance – Buildings</t>
  </si>
  <si>
    <t>CC1809</t>
  </si>
  <si>
    <t>CC1810 Structural Services – Buildings</t>
  </si>
  <si>
    <t>CC1810</t>
  </si>
  <si>
    <t>CC1811 Burlington Campus - Facilities Management</t>
  </si>
  <si>
    <t>CC1811</t>
  </si>
  <si>
    <t>CC1900 Emergency Management Plan</t>
  </si>
  <si>
    <t>CC1900</t>
  </si>
  <si>
    <t>CC1901 Campus Safety Services</t>
  </si>
  <si>
    <t>CC1901</t>
  </si>
  <si>
    <t>CC1902 MIWSFPA - Campus Safety</t>
  </si>
  <si>
    <t>CC1902</t>
  </si>
  <si>
    <t>CC1950 Heritage Plaza</t>
  </si>
  <si>
    <t>CC1950</t>
  </si>
  <si>
    <t>CC1951 Rodman Hall (inactive)</t>
  </si>
  <si>
    <t>CC1951</t>
  </si>
  <si>
    <t>CC1960 Insurance</t>
  </si>
  <si>
    <t>CC1960</t>
  </si>
  <si>
    <t>CC1961 Campus Utilities</t>
  </si>
  <si>
    <t>CC1961</t>
  </si>
  <si>
    <t>CC1970 University Debt Service</t>
  </si>
  <si>
    <t>CC1970</t>
  </si>
  <si>
    <t>CC2000 Dean Of Social Sciences</t>
  </si>
  <si>
    <t>CC2000</t>
  </si>
  <si>
    <t>CC2001 Non-Teaching - Social Sciences</t>
  </si>
  <si>
    <t>CC2001</t>
  </si>
  <si>
    <t>CC2002 BA Social Sciences</t>
  </si>
  <si>
    <t>CC2002</t>
  </si>
  <si>
    <t>CC2100 Applied Disability Studies</t>
  </si>
  <si>
    <t>CC2100</t>
  </si>
  <si>
    <t>CC2105 Applied Linguistics</t>
  </si>
  <si>
    <t>CC2105</t>
  </si>
  <si>
    <t>CC2117 Child And Youth Studies</t>
  </si>
  <si>
    <t>CC2117</t>
  </si>
  <si>
    <t>CC2120 Communications, Popular Culture and Film</t>
  </si>
  <si>
    <t>CC2120</t>
  </si>
  <si>
    <t>CC2125 Economics</t>
  </si>
  <si>
    <t>CC2125</t>
  </si>
  <si>
    <t>CC2130 Forensic Psychology and Criminal Justice</t>
  </si>
  <si>
    <t>CC2130</t>
  </si>
  <si>
    <t>CC2135 Geography and Tourism Studies</t>
  </si>
  <si>
    <t>CC2135</t>
  </si>
  <si>
    <t>CC2140 Labour Studies</t>
  </si>
  <si>
    <t>CC2140</t>
  </si>
  <si>
    <t>CC2145 Political Science</t>
  </si>
  <si>
    <t>CC2145</t>
  </si>
  <si>
    <t>CC2150 Psychology</t>
  </si>
  <si>
    <t>CC2150</t>
  </si>
  <si>
    <t>CC2155 Sociology</t>
  </si>
  <si>
    <t>CC2155</t>
  </si>
  <si>
    <t>CC2160 MA Social Justice &amp; Equity Studies</t>
  </si>
  <si>
    <t>CC2160</t>
  </si>
  <si>
    <t>CC2162 ESRC</t>
  </si>
  <si>
    <t>CC2162</t>
  </si>
  <si>
    <t>CC2165 Women &amp; Gender Studies</t>
  </si>
  <si>
    <t>CC2165</t>
  </si>
  <si>
    <t>CC2200 TDI - Environmental Sustainability Research Institute (inactive)</t>
  </si>
  <si>
    <t>CC2200</t>
  </si>
  <si>
    <t>CC2205 Lifespan Development Research Centre</t>
  </si>
  <si>
    <t>CC2205</t>
  </si>
  <si>
    <t>CC2210 Niagara Community Observatory</t>
  </si>
  <si>
    <t>CC2210</t>
  </si>
  <si>
    <t>CC2215 RI - Social Justice Research Institute</t>
  </si>
  <si>
    <t>CC2215</t>
  </si>
  <si>
    <t>CC3000 Dean Of Business</t>
  </si>
  <si>
    <t>CC3000</t>
  </si>
  <si>
    <t>CC3001 Non-Teaching - Goodman</t>
  </si>
  <si>
    <t>CC3001</t>
  </si>
  <si>
    <t>CC3002 Information Technology Services - Goodman</t>
  </si>
  <si>
    <t>CC3002</t>
  </si>
  <si>
    <t>CC3003 Goodman Communications, Alumni Relations &amp; Marketing</t>
  </si>
  <si>
    <t>CC3003</t>
  </si>
  <si>
    <t>CC3004 International Exchange Programs</t>
  </si>
  <si>
    <t>CC3004</t>
  </si>
  <si>
    <t>CC3005 Goodman Undergraduate Programs - Admin</t>
  </si>
  <si>
    <t>CC3005</t>
  </si>
  <si>
    <t>CC3006 Goodman Graduate Programs - Admin</t>
  </si>
  <si>
    <t>CC3006</t>
  </si>
  <si>
    <t>CC3007 Professional &amp; Executive Development</t>
  </si>
  <si>
    <t>CC3007</t>
  </si>
  <si>
    <t>CC3008 Goodman Donation</t>
  </si>
  <si>
    <t>CC3008</t>
  </si>
  <si>
    <t>CC3009 Consulting Services</t>
  </si>
  <si>
    <t>CC3009</t>
  </si>
  <si>
    <t>CC3010 Venture Development (inactive)</t>
  </si>
  <si>
    <t>CC3010</t>
  </si>
  <si>
    <t>CC3011 Student Life and Alumni Engagement - Goodman</t>
  </si>
  <si>
    <t>CC3011</t>
  </si>
  <si>
    <t>CC3100 Accounting</t>
  </si>
  <si>
    <t>CC3100</t>
  </si>
  <si>
    <t>CC3101 Finance, Operations &amp; Information Systems</t>
  </si>
  <si>
    <t>CC3101</t>
  </si>
  <si>
    <t>CC3102 Marketing, International Business &amp;Strategy</t>
  </si>
  <si>
    <t>CC3102</t>
  </si>
  <si>
    <t>CC3103 Organizational Behaviour, HR, Entrepreneurship &amp; Ethics</t>
  </si>
  <si>
    <t>CC3103</t>
  </si>
  <si>
    <t>CC3104 Professional Masters Preparation Certificate</t>
  </si>
  <si>
    <t>CC3104</t>
  </si>
  <si>
    <t>CC3105 Masters of Business Administration (ISP) (inactive)</t>
  </si>
  <si>
    <t>CC3105</t>
  </si>
  <si>
    <t>CC3106 Masters of Accountancy (ISP) (inactive)</t>
  </si>
  <si>
    <t>CC3106</t>
  </si>
  <si>
    <t>CC3107 Certificate In Administrative Studies (inactive)</t>
  </si>
  <si>
    <t>CC3107</t>
  </si>
  <si>
    <t>CC3108 Accreditation</t>
  </si>
  <si>
    <t>CC3108</t>
  </si>
  <si>
    <t>CC4000 Dean of Education</t>
  </si>
  <si>
    <t>CC4000</t>
  </si>
  <si>
    <t>CC4001 Non-Teaching - Education</t>
  </si>
  <si>
    <t>CC4001</t>
  </si>
  <si>
    <t>CC4002 Computer Services - Education</t>
  </si>
  <si>
    <t>CC4002</t>
  </si>
  <si>
    <t>CC4003 Associate Dean Student Services</t>
  </si>
  <si>
    <t>CC4003</t>
  </si>
  <si>
    <t>CC4004 Associate Dean International &amp; Research</t>
  </si>
  <si>
    <t>CC4004</t>
  </si>
  <si>
    <t>CC4005 Department of Educational Studies</t>
  </si>
  <si>
    <t>CC4005</t>
  </si>
  <si>
    <t>CC4102 Undergraduate Aboriginal Studies</t>
  </si>
  <si>
    <t>CC4102</t>
  </si>
  <si>
    <t>CC4103 Global Education Program Committee (GEPC)</t>
  </si>
  <si>
    <t>CC4103</t>
  </si>
  <si>
    <t>CC4106 Gidayaamin</t>
  </si>
  <si>
    <t>CC4106</t>
  </si>
  <si>
    <t>CC4107 Undergraduate Educational Studies</t>
  </si>
  <si>
    <t>CC4107</t>
  </si>
  <si>
    <t>CC4108 Bachelor of Early Childhood Education</t>
  </si>
  <si>
    <t>CC4108</t>
  </si>
  <si>
    <t>CC4109 Master of Education</t>
  </si>
  <si>
    <t>CC4109</t>
  </si>
  <si>
    <t>CC4110 PhD in Education</t>
  </si>
  <si>
    <t>CC4110</t>
  </si>
  <si>
    <t>CC4200 Tecumseh Ctr-Abor.Research&amp;Educ. (inactive)</t>
  </si>
  <si>
    <t>CC4200</t>
  </si>
  <si>
    <t>CC4202 Instructional Resource Centre</t>
  </si>
  <si>
    <t>CC4202</t>
  </si>
  <si>
    <t>CC4203 Centre For Multiliteracies</t>
  </si>
  <si>
    <t>CC4203</t>
  </si>
  <si>
    <t>CC4204 Teacher Education</t>
  </si>
  <si>
    <t>CC4204</t>
  </si>
  <si>
    <t>CC4205 Learning Lab</t>
  </si>
  <si>
    <t>CC4205</t>
  </si>
  <si>
    <t>CC4400 Continuing Teacher Educ.</t>
  </si>
  <si>
    <t>CC4400</t>
  </si>
  <si>
    <t>CC4401 Aboriginal B.Ed</t>
  </si>
  <si>
    <t>CC4401</t>
  </si>
  <si>
    <t>CC4402 Adult Education</t>
  </si>
  <si>
    <t>CC4402</t>
  </si>
  <si>
    <t>CC4403 Aded - Aboriginal Stream</t>
  </si>
  <si>
    <t>CC4403</t>
  </si>
  <si>
    <t>CC5000 Dean Of Humanities</t>
  </si>
  <si>
    <t>CC5000</t>
  </si>
  <si>
    <t>CC5001 Non-Teaching - Humanities</t>
  </si>
  <si>
    <t>CC5001</t>
  </si>
  <si>
    <t>CC5100 Medieval and Renaissance Studies</t>
  </si>
  <si>
    <t>CC5100</t>
  </si>
  <si>
    <t>CC5101 History</t>
  </si>
  <si>
    <t>CC5101</t>
  </si>
  <si>
    <t>CC5102 Philosophy</t>
  </si>
  <si>
    <t>CC5102</t>
  </si>
  <si>
    <t>CC5103 Classics and Archaeology</t>
  </si>
  <si>
    <t>CC5103</t>
  </si>
  <si>
    <t>CC5104 Modern Languages, Literatures and Cultures</t>
  </si>
  <si>
    <t>CC5104</t>
  </si>
  <si>
    <t>CC5105 Studies In Arts &amp; Culture (Stac)</t>
  </si>
  <si>
    <t>CC5105</t>
  </si>
  <si>
    <t>CC5106 Dramatic Arts</t>
  </si>
  <si>
    <t>CC5106</t>
  </si>
  <si>
    <t>CC5107 Visual Arts</t>
  </si>
  <si>
    <t>CC5107</t>
  </si>
  <si>
    <t>CC5109 Music</t>
  </si>
  <si>
    <t>CC5109</t>
  </si>
  <si>
    <t>CC5111 English Language And Literature</t>
  </si>
  <si>
    <t>CC5111</t>
  </si>
  <si>
    <t>CC5116 Interdisciplinary Humanities</t>
  </si>
  <si>
    <t>CC5116</t>
  </si>
  <si>
    <t>CC5117 Studies in Comparative Literatures and Arts</t>
  </si>
  <si>
    <t>CC5117</t>
  </si>
  <si>
    <t>CC5118 Canadian Studies</t>
  </si>
  <si>
    <t>CC5118</t>
  </si>
  <si>
    <t>CC5200 Department of Digital Humanities</t>
  </si>
  <si>
    <t>CC5200</t>
  </si>
  <si>
    <t>CC5201 Humanities Research Institute</t>
  </si>
  <si>
    <t>CC5201</t>
  </si>
  <si>
    <t>CC5203 MIW School Of Fine And Performing Arts</t>
  </si>
  <si>
    <t>CC5203</t>
  </si>
  <si>
    <t>CC5204 Posthumanism Research Institute</t>
  </si>
  <si>
    <t>CC5204</t>
  </si>
  <si>
    <t>CC6000 Dean Of Math And Science</t>
  </si>
  <si>
    <t>CC6000</t>
  </si>
  <si>
    <t>CC6001 Non-Teaching - Math &amp; Science</t>
  </si>
  <si>
    <t>CC6001</t>
  </si>
  <si>
    <t>CC6100 Biological Sciences</t>
  </si>
  <si>
    <t>CC6100</t>
  </si>
  <si>
    <t>CC6101 Chemistry</t>
  </si>
  <si>
    <t>CC6101</t>
  </si>
  <si>
    <t>CC6102 Physics</t>
  </si>
  <si>
    <t>CC6102</t>
  </si>
  <si>
    <t>CC6103 Material Physics</t>
  </si>
  <si>
    <t>CC6103</t>
  </si>
  <si>
    <t>CC6104 Mathematics</t>
  </si>
  <si>
    <t>CC6104</t>
  </si>
  <si>
    <t>CC6105 Earth Sciences</t>
  </si>
  <si>
    <t>CC6105</t>
  </si>
  <si>
    <t>CC6106 Computer Science</t>
  </si>
  <si>
    <t>CC6106</t>
  </si>
  <si>
    <t>CC6109 Neuroscience</t>
  </si>
  <si>
    <t>CC6109</t>
  </si>
  <si>
    <t>CC6110 Biotechnology</t>
  </si>
  <si>
    <t>CC6110</t>
  </si>
  <si>
    <t>CC6111 Engineering</t>
  </si>
  <si>
    <t>CC6111</t>
  </si>
  <si>
    <t>CC6200 Math &amp; Science Stores</t>
  </si>
  <si>
    <t>CC6200</t>
  </si>
  <si>
    <t>CC6201 Technical Services</t>
  </si>
  <si>
    <t>CC6201</t>
  </si>
  <si>
    <t>CC6210 CCOVI Research Institute</t>
  </si>
  <si>
    <t>CC6210</t>
  </si>
  <si>
    <t>CC6215 RI - Advanced Biomanufacturing Centre</t>
  </si>
  <si>
    <t>CC6215</t>
  </si>
  <si>
    <t>CC7000 Dean Of Applied Health Sciences</t>
  </si>
  <si>
    <t>CC7000</t>
  </si>
  <si>
    <t>CC7001 Non-Teaching - Applied Health Sciences</t>
  </si>
  <si>
    <t>CC7001</t>
  </si>
  <si>
    <t>CC7002 Undergraduate Programs-AHS</t>
  </si>
  <si>
    <t>CC7002</t>
  </si>
  <si>
    <t>CC7003 Graduate &amp; Research Programs- AHS</t>
  </si>
  <si>
    <t>CC7003</t>
  </si>
  <si>
    <t>CC7100 Health Sciences</t>
  </si>
  <si>
    <t>CC7100</t>
  </si>
  <si>
    <t>CC7101 Sport Management</t>
  </si>
  <si>
    <t>CC7101</t>
  </si>
  <si>
    <t>CC7102 Kinesiology</t>
  </si>
  <si>
    <t>CC7102</t>
  </si>
  <si>
    <t>CC7103 Recreation And Leisure</t>
  </si>
  <si>
    <t>CC7103</t>
  </si>
  <si>
    <t>CC7104 Nursing</t>
  </si>
  <si>
    <t>CC7104</t>
  </si>
  <si>
    <t>CC7200 RI - Brock Functional Inclusive Training Centre (Bfit)</t>
  </si>
  <si>
    <t>CC7200</t>
  </si>
  <si>
    <t>CC7201 Leave The Pack Behind</t>
  </si>
  <si>
    <t>CC7201</t>
  </si>
  <si>
    <t>CC7202 Centre for Healthy Development</t>
  </si>
  <si>
    <t>CC7202</t>
  </si>
  <si>
    <t>CC9000 University Funded Awards</t>
  </si>
  <si>
    <t>CC9000</t>
  </si>
  <si>
    <t>CC9001 Government Grants For Safa</t>
  </si>
  <si>
    <t>CC9001</t>
  </si>
  <si>
    <t>CC9002 Graduate Student Funding</t>
  </si>
  <si>
    <t>CC9002</t>
  </si>
  <si>
    <t>CC9003 FM - Capital &amp; Related Projects</t>
  </si>
  <si>
    <t>CC9003</t>
  </si>
  <si>
    <t>CC9005 Academic - Global</t>
  </si>
  <si>
    <t>CC9005</t>
  </si>
  <si>
    <t>CC9006 Quality Assurance</t>
  </si>
  <si>
    <t>CC9006</t>
  </si>
  <si>
    <t>CC9007 Human Resources - Univ.Wide</t>
  </si>
  <si>
    <t>CC9007</t>
  </si>
  <si>
    <t>CC9008 University Global</t>
  </si>
  <si>
    <t>CC9008</t>
  </si>
  <si>
    <t>CC9009 IT - Capital &amp; Related Projects</t>
  </si>
  <si>
    <t>CC9009</t>
  </si>
  <si>
    <t xml:space="preserve">Funds in Outline Form </t>
  </si>
  <si>
    <t xml:space="preserve">Fund /Internally Restricted </t>
  </si>
  <si>
    <t>01 Operating (Unrestricted)</t>
  </si>
  <si>
    <t>02 Invested in Capital Assets</t>
  </si>
  <si>
    <t>03 Endowments</t>
  </si>
  <si>
    <t>05 Capital and Infrastructure Project Reserves</t>
  </si>
  <si>
    <t>06 Operating Project Accounts</t>
  </si>
  <si>
    <t>07 Research Funds with No External Obligations</t>
  </si>
  <si>
    <t>08 Start-up Fund</t>
  </si>
  <si>
    <t>09 Professional Expense Reimbursement Fund</t>
  </si>
  <si>
    <t>17 Research Fund</t>
  </si>
  <si>
    <t>18 Non-endowed Trust Accounts</t>
  </si>
  <si>
    <t>General Internal Charge Back Expense</t>
  </si>
  <si>
    <t>General Internal Charge Back Revenue</t>
  </si>
  <si>
    <t>Administration</t>
  </si>
  <si>
    <t>Romina Cristofano</t>
  </si>
  <si>
    <t>Operations Coordinator - Risk Management and Insurance</t>
  </si>
  <si>
    <t>2026Apr8</t>
  </si>
  <si>
    <t>Insurance coverage for Dr. Kiyoko Gotanda - Ecology, Ethology, and  Evolution Banquet_2026May2</t>
  </si>
  <si>
    <t>BIOL - OE3C 2026</t>
  </si>
  <si>
    <t>CC6300</t>
  </si>
  <si>
    <t>Dr. Kiyoko Gotanda</t>
  </si>
  <si>
    <t>Assistant Professor, Dept. of Biological Sciences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</si>
</sst>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m/d/yyyy;@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theme="3"/>
      <name val="Calibri"/>
      <family val="2"/>
      <scheme val="minor"/>
    </font>
    <font>
      <sz val="36"/>
      <color theme="1"/>
      <name val="Trebuchet MS"/>
      <family val="2"/>
    </font>
    <font>
      <sz val="18"/>
      <color theme="1"/>
      <name val="Trebuchet MS"/>
      <family val="2"/>
    </font>
    <font>
      <sz val="11"/>
      <color theme="1"/>
      <name val="Trebuchet MS"/>
      <family val="2"/>
    </font>
    <font>
      <b/>
      <sz val="14"/>
      <name val="Trebuchet MS"/>
      <family val="2"/>
    </font>
    <font>
      <b/>
      <sz val="16"/>
      <color theme="1"/>
      <name val="Trebuchet MS"/>
      <family val="2"/>
    </font>
    <font>
      <sz val="10"/>
      <name val="Arial"/>
      <family val="2"/>
    </font>
    <font>
      <b/>
      <sz val="10"/>
      <name val="Arial"/>
      <family val="2"/>
    </font>
    <font>
      <b/>
      <sz val="18"/>
      <color theme="4" tint="-0.249977111117893"/>
      <name val="Trebuchet MS"/>
      <family val="2"/>
    </font>
    <font>
      <sz val="14"/>
      <color theme="1"/>
      <name val="Trebuchet MS"/>
      <family val="2"/>
    </font>
    <font>
      <b/>
      <sz val="11"/>
      <color theme="1"/>
      <name val="Calibri"/>
      <family val="2"/>
      <scheme val="minor"/>
    </font>
    <font>
      <sz val="12"/>
      <color theme="1"/>
      <name val="Trebuchet MS"/>
      <family val="2"/>
    </font>
    <font>
      <b/>
      <sz val="11"/>
      <name val="Trebuchet MS"/>
      <family val="2"/>
    </font>
    <font>
      <b/>
      <sz val="12"/>
      <name val="Trebuchet MS"/>
      <family val="2"/>
    </font>
    <font>
      <b/>
      <sz val="12"/>
      <color rgb="FFFF0000"/>
      <name val="Trebuchet MS"/>
      <family val="2"/>
    </font>
    <font>
      <b/>
      <sz val="12"/>
      <color theme="1"/>
      <name val="Trebuchet MS"/>
      <family val="2"/>
    </font>
    <font>
      <sz val="11"/>
      <name val="Trebuchet MS"/>
      <family val="2"/>
    </font>
    <font>
      <sz val="11"/>
      <color rgb="FF1F497D"/>
      <name val="Calibri"/>
      <family val="2"/>
      <scheme val="minor"/>
    </font>
    <font>
      <b/>
      <sz val="11"/>
      <color theme="1"/>
      <name val="Trebuchet MS"/>
      <family val="2"/>
    </font>
    <font>
      <b/>
      <sz val="10"/>
      <name val="Trebuchet MS"/>
      <family val="2"/>
    </font>
    <font>
      <sz val="10"/>
      <color theme="1"/>
      <name val="Trebuchet MS"/>
      <family val="2"/>
    </font>
    <font>
      <b/>
      <sz val="10"/>
      <color rgb="FFFF0000"/>
      <name val="Trebuchet MS"/>
      <family val="2"/>
    </font>
    <font>
      <b/>
      <sz val="10"/>
      <color theme="1"/>
      <name val="Trebuchet MS"/>
      <family val="2"/>
    </font>
    <font>
      <b/>
      <sz val="9"/>
      <name val="Trebuchet MS"/>
      <family val="2"/>
    </font>
    <font>
      <sz val="20"/>
      <color theme="1"/>
      <name val="Trebuchet MS"/>
      <family val="2"/>
    </font>
    <font>
      <b/>
      <i/>
      <sz val="12"/>
      <color rgb="FFFF0000"/>
      <name val="Trebuchet MS"/>
      <family val="2"/>
    </font>
    <font>
      <sz val="12"/>
      <color theme="1"/>
      <name val="Calibri"/>
      <family val="2"/>
      <scheme val="minor"/>
    </font>
    <font>
      <b/>
      <vertAlign val="superscript"/>
      <sz val="12"/>
      <name val="Trebuchet MS"/>
      <family val="2"/>
    </font>
    <font>
      <i/>
      <sz val="12"/>
      <color theme="1"/>
      <name val="Trebuchet MS"/>
      <family val="2"/>
    </font>
    <font>
      <b/>
      <i/>
      <sz val="11"/>
      <color rgb="FFFF0000"/>
      <name val="Trebuchet MS"/>
      <family val="2"/>
    </font>
    <font>
      <b/>
      <sz val="12"/>
      <color theme="4" tint="-0.249977111117893"/>
      <name val="Trebuchet MS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/>
  </cellStyleXfs>
  <cellXfs count="152">
    <xf numFmtId="0" fontId="0" fillId="0" borderId="0" xfId="0"/>
    <xf numFmtId="0" fontId="4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/>
    <xf numFmtId="0" fontId="3" fillId="2" borderId="0" xfId="0" applyFont="1" applyFill="1"/>
    <xf numFmtId="0" fontId="0" fillId="0" borderId="0" xfId="0" applyAlignment="1">
      <alignment wrapText="1"/>
    </xf>
    <xf numFmtId="0" fontId="8" fillId="0" borderId="0" xfId="0" applyFont="1" applyAlignment="1">
      <alignment vertical="top"/>
    </xf>
    <xf numFmtId="0" fontId="9" fillId="3" borderId="0" xfId="0" applyFont="1" applyFill="1"/>
    <xf numFmtId="0" fontId="10" fillId="0" borderId="0" xfId="2"/>
    <xf numFmtId="15" fontId="10" fillId="0" borderId="0" xfId="2" applyNumberFormat="1"/>
    <xf numFmtId="0" fontId="12" fillId="2" borderId="0" xfId="0" applyFont="1" applyFill="1" applyAlignment="1">
      <alignment horizontal="left" vertical="top"/>
    </xf>
    <xf numFmtId="0" fontId="13" fillId="2" borderId="0" xfId="0" applyFont="1" applyFill="1" applyAlignment="1">
      <alignment horizontal="left" vertical="top"/>
    </xf>
    <xf numFmtId="0" fontId="7" fillId="0" borderId="0" xfId="0" applyFont="1" applyAlignment="1">
      <alignment horizontal="left" vertical="top"/>
    </xf>
    <xf numFmtId="0" fontId="5" fillId="2" borderId="0" xfId="0" applyFont="1" applyFill="1" applyAlignment="1">
      <alignment horizontal="left" vertical="top" wrapText="1"/>
    </xf>
    <xf numFmtId="0" fontId="14" fillId="0" borderId="0" xfId="0" applyFont="1"/>
    <xf numFmtId="0" fontId="0" fillId="0" borderId="0" xfId="0" applyAlignment="1">
      <alignment vertical="top"/>
    </xf>
    <xf numFmtId="0" fontId="0" fillId="0" borderId="5" xfId="0" applyBorder="1"/>
    <xf numFmtId="0" fontId="6" fillId="0" borderId="0" xfId="0" applyFont="1" applyAlignment="1">
      <alignment horizontal="center"/>
    </xf>
    <xf numFmtId="164" fontId="15" fillId="4" borderId="14" xfId="1" applyFont="1" applyFill="1" applyBorder="1" applyAlignment="1">
      <alignment horizontal="center" vertical="center"/>
    </xf>
    <xf numFmtId="164" fontId="15" fillId="4" borderId="14" xfId="0" applyNumberFormat="1" applyFont="1" applyFill="1" applyBorder="1" applyAlignment="1">
      <alignment horizontal="center" vertical="center"/>
    </xf>
    <xf numFmtId="164" fontId="15" fillId="4" borderId="15" xfId="1" applyFont="1" applyFill="1" applyBorder="1" applyAlignment="1">
      <alignment horizontal="center" vertical="center"/>
    </xf>
    <xf numFmtId="164" fontId="15" fillId="4" borderId="15" xfId="0" applyNumberFormat="1" applyFont="1" applyFill="1" applyBorder="1" applyAlignment="1">
      <alignment horizontal="center" vertical="center"/>
    </xf>
    <xf numFmtId="0" fontId="15" fillId="0" borderId="0" xfId="0" applyFont="1"/>
    <xf numFmtId="0" fontId="20" fillId="2" borderId="1" xfId="0" applyFont="1" applyFill="1" applyBorder="1" applyAlignment="1">
      <alignment horizontal="left"/>
    </xf>
    <xf numFmtId="0" fontId="20" fillId="2" borderId="2" xfId="0" applyFont="1" applyFill="1" applyBorder="1" applyAlignment="1">
      <alignment horizontal="left"/>
    </xf>
    <xf numFmtId="0" fontId="7" fillId="2" borderId="3" xfId="0" applyFont="1" applyFill="1" applyBorder="1" applyAlignment="1">
      <alignment horizontal="left"/>
    </xf>
    <xf numFmtId="0" fontId="16" fillId="2" borderId="5" xfId="0" applyFont="1" applyFill="1" applyBorder="1"/>
    <xf numFmtId="0" fontId="16" fillId="2" borderId="11" xfId="0" applyFont="1" applyFill="1" applyBorder="1"/>
    <xf numFmtId="0" fontId="16" fillId="2" borderId="0" xfId="0" applyFont="1" applyFill="1" applyAlignment="1">
      <alignment vertical="top"/>
    </xf>
    <xf numFmtId="0" fontId="0" fillId="0" borderId="6" xfId="0" applyBorder="1"/>
    <xf numFmtId="0" fontId="16" fillId="2" borderId="9" xfId="0" applyFont="1" applyFill="1" applyBorder="1" applyAlignment="1">
      <alignment horizontal="left"/>
    </xf>
    <xf numFmtId="0" fontId="19" fillId="5" borderId="18" xfId="0" applyFont="1" applyFill="1" applyBorder="1" applyAlignment="1">
      <alignment horizontal="centerContinuous" vertical="center"/>
    </xf>
    <xf numFmtId="0" fontId="17" fillId="2" borderId="20" xfId="0" applyFont="1" applyFill="1" applyBorder="1" applyAlignment="1">
      <alignment vertical="top"/>
    </xf>
    <xf numFmtId="0" fontId="2" fillId="0" borderId="0" xfId="0" applyFont="1"/>
    <xf numFmtId="0" fontId="21" fillId="0" borderId="0" xfId="0" applyFont="1" applyAlignment="1">
      <alignment vertical="center"/>
    </xf>
    <xf numFmtId="164" fontId="15" fillId="0" borderId="17" xfId="0" applyNumberFormat="1" applyFont="1" applyBorder="1" applyAlignment="1">
      <alignment horizontal="left" vertical="center"/>
    </xf>
    <xf numFmtId="164" fontId="15" fillId="0" borderId="15" xfId="0" applyNumberFormat="1" applyFont="1" applyBorder="1" applyAlignment="1">
      <alignment horizontal="left" vertical="center"/>
    </xf>
    <xf numFmtId="0" fontId="15" fillId="2" borderId="17" xfId="0" applyFont="1" applyFill="1" applyBorder="1" applyAlignment="1">
      <alignment horizontal="left" vertical="center" wrapText="1"/>
    </xf>
    <xf numFmtId="164" fontId="15" fillId="0" borderId="14" xfId="1" applyFont="1" applyBorder="1" applyAlignment="1">
      <alignment horizontal="left" vertical="center"/>
    </xf>
    <xf numFmtId="164" fontId="15" fillId="0" borderId="15" xfId="1" applyFont="1" applyBorder="1" applyAlignment="1">
      <alignment horizontal="left" vertical="center"/>
    </xf>
    <xf numFmtId="0" fontId="15" fillId="3" borderId="14" xfId="0" applyFont="1" applyFill="1" applyBorder="1" applyAlignment="1">
      <alignment horizontal="left" vertical="center"/>
    </xf>
    <xf numFmtId="0" fontId="15" fillId="3" borderId="15" xfId="0" applyFont="1" applyFill="1" applyBorder="1" applyAlignment="1">
      <alignment horizontal="left" vertical="center"/>
    </xf>
    <xf numFmtId="0" fontId="16" fillId="2" borderId="16" xfId="0" applyFont="1" applyFill="1" applyBorder="1" applyAlignment="1">
      <alignment horizontal="left"/>
    </xf>
    <xf numFmtId="0" fontId="16" fillId="2" borderId="5" xfId="0" applyFont="1" applyFill="1" applyBorder="1" applyAlignment="1">
      <alignment horizontal="left"/>
    </xf>
    <xf numFmtId="165" fontId="15" fillId="2" borderId="6" xfId="0" applyNumberFormat="1" applyFont="1" applyFill="1" applyBorder="1" applyAlignment="1">
      <alignment horizontal="left" vertical="top" wrapText="1"/>
    </xf>
    <xf numFmtId="165" fontId="15" fillId="2" borderId="9" xfId="0" applyNumberFormat="1" applyFont="1" applyFill="1" applyBorder="1" applyAlignment="1">
      <alignment horizontal="left" vertical="top" wrapText="1"/>
    </xf>
    <xf numFmtId="165" fontId="15" fillId="2" borderId="10" xfId="0" applyNumberFormat="1" applyFont="1" applyFill="1" applyBorder="1" applyAlignment="1">
      <alignment horizontal="left" vertical="top" wrapText="1"/>
    </xf>
    <xf numFmtId="0" fontId="26" fillId="5" borderId="19" xfId="0" applyFont="1" applyFill="1" applyBorder="1" applyAlignment="1">
      <alignment horizontal="centerContinuous" vertical="center" wrapText="1"/>
    </xf>
    <xf numFmtId="0" fontId="23" fillId="3" borderId="13" xfId="0" applyFont="1" applyFill="1" applyBorder="1" applyAlignment="1">
      <alignment horizontal="center" vertical="center" wrapText="1"/>
    </xf>
    <xf numFmtId="0" fontId="23" fillId="5" borderId="13" xfId="0" applyFont="1" applyFill="1" applyBorder="1" applyAlignment="1">
      <alignment horizontal="center" vertical="center" wrapText="1"/>
    </xf>
    <xf numFmtId="0" fontId="23" fillId="5" borderId="19" xfId="0" applyFont="1" applyFill="1" applyBorder="1" applyAlignment="1">
      <alignment horizontal="centerContinuous" vertical="center" wrapText="1"/>
    </xf>
    <xf numFmtId="0" fontId="23" fillId="5" borderId="29" xfId="0" applyFont="1" applyFill="1" applyBorder="1" applyAlignment="1">
      <alignment horizontal="centerContinuous" vertical="center" wrapText="1"/>
    </xf>
    <xf numFmtId="0" fontId="23" fillId="5" borderId="18" xfId="0" applyFont="1" applyFill="1" applyBorder="1" applyAlignment="1">
      <alignment horizontal="centerContinuous" vertical="center" wrapText="1"/>
    </xf>
    <xf numFmtId="0" fontId="24" fillId="0" borderId="0" xfId="0" applyFont="1"/>
    <xf numFmtId="0" fontId="23" fillId="2" borderId="5" xfId="0" applyFont="1" applyFill="1" applyBorder="1"/>
    <xf numFmtId="0" fontId="23" fillId="2" borderId="5" xfId="0" applyFont="1" applyFill="1" applyBorder="1" applyAlignment="1">
      <alignment horizontal="left"/>
    </xf>
    <xf numFmtId="0" fontId="23" fillId="2" borderId="4" xfId="0" applyFont="1" applyFill="1" applyBorder="1" applyAlignment="1">
      <alignment vertical="top"/>
    </xf>
    <xf numFmtId="0" fontId="23" fillId="2" borderId="0" xfId="0" applyFont="1" applyFill="1" applyAlignment="1">
      <alignment vertical="top"/>
    </xf>
    <xf numFmtId="49" fontId="23" fillId="2" borderId="0" xfId="0" applyNumberFormat="1" applyFont="1" applyFill="1" applyAlignment="1" applyProtection="1">
      <alignment horizontal="left"/>
      <protection locked="0"/>
    </xf>
    <xf numFmtId="0" fontId="23" fillId="2" borderId="12" xfId="0" applyFont="1" applyFill="1" applyBorder="1" applyAlignment="1">
      <alignment vertical="top"/>
    </xf>
    <xf numFmtId="0" fontId="23" fillId="2" borderId="9" xfId="0" applyFont="1" applyFill="1" applyBorder="1" applyAlignment="1">
      <alignment vertical="top"/>
    </xf>
    <xf numFmtId="49" fontId="23" fillId="2" borderId="9" xfId="0" applyNumberFormat="1" applyFont="1" applyFill="1" applyBorder="1" applyAlignment="1" applyProtection="1">
      <alignment horizontal="left" vertical="top"/>
      <protection locked="0"/>
    </xf>
    <xf numFmtId="0" fontId="26" fillId="3" borderId="0" xfId="0" applyFont="1" applyFill="1"/>
    <xf numFmtId="0" fontId="17" fillId="2" borderId="0" xfId="0" applyFont="1" applyFill="1"/>
    <xf numFmtId="0" fontId="29" fillId="0" borderId="0" xfId="0" applyFont="1"/>
    <xf numFmtId="0" fontId="30" fillId="0" borderId="0" xfId="0" applyFont="1"/>
    <xf numFmtId="0" fontId="15" fillId="2" borderId="1" xfId="0" applyFont="1" applyFill="1" applyBorder="1"/>
    <xf numFmtId="0" fontId="15" fillId="2" borderId="2" xfId="0" applyFont="1" applyFill="1" applyBorder="1"/>
    <xf numFmtId="0" fontId="15" fillId="2" borderId="3" xfId="0" applyFont="1" applyFill="1" applyBorder="1"/>
    <xf numFmtId="0" fontId="15" fillId="2" borderId="0" xfId="0" applyFont="1" applyFill="1"/>
    <xf numFmtId="0" fontId="15" fillId="0" borderId="1" xfId="0" applyFont="1" applyBorder="1"/>
    <xf numFmtId="0" fontId="15" fillId="0" borderId="2" xfId="0" applyFont="1" applyBorder="1"/>
    <xf numFmtId="0" fontId="30" fillId="0" borderId="2" xfId="0" applyFont="1" applyBorder="1"/>
    <xf numFmtId="0" fontId="30" fillId="0" borderId="3" xfId="0" applyFont="1" applyBorder="1"/>
    <xf numFmtId="49" fontId="17" fillId="2" borderId="4" xfId="0" applyNumberFormat="1" applyFont="1" applyFill="1" applyBorder="1" applyAlignment="1">
      <alignment horizontal="left" vertical="center" wrapText="1"/>
    </xf>
    <xf numFmtId="165" fontId="15" fillId="2" borderId="15" xfId="0" applyNumberFormat="1" applyFont="1" applyFill="1" applyBorder="1" applyAlignment="1">
      <alignment horizontal="center" vertical="center"/>
    </xf>
    <xf numFmtId="0" fontId="32" fillId="0" borderId="0" xfId="0" applyFont="1" applyAlignment="1">
      <alignment horizontal="left" vertical="center"/>
    </xf>
    <xf numFmtId="0" fontId="30" fillId="0" borderId="6" xfId="0" applyFont="1" applyBorder="1"/>
    <xf numFmtId="0" fontId="19" fillId="0" borderId="4" xfId="0" applyFont="1" applyBorder="1" applyAlignment="1">
      <alignment horizontal="right"/>
    </xf>
    <xf numFmtId="0" fontId="19" fillId="0" borderId="0" xfId="0" applyFont="1" applyAlignment="1">
      <alignment horizontal="right"/>
    </xf>
    <xf numFmtId="0" fontId="15" fillId="0" borderId="15" xfId="0" applyFont="1" applyBorder="1" applyAlignment="1">
      <alignment horizontal="center"/>
    </xf>
    <xf numFmtId="0" fontId="15" fillId="0" borderId="6" xfId="0" applyFont="1" applyBorder="1" applyAlignment="1">
      <alignment horizontal="center"/>
    </xf>
    <xf numFmtId="0" fontId="19" fillId="2" borderId="4" xfId="0" applyFont="1" applyFill="1" applyBorder="1" applyAlignment="1">
      <alignment horizontal="left"/>
    </xf>
    <xf numFmtId="0" fontId="15" fillId="2" borderId="0" xfId="0" applyFont="1" applyFill="1" applyAlignment="1">
      <alignment horizontal="left"/>
    </xf>
    <xf numFmtId="0" fontId="19" fillId="0" borderId="4" xfId="0" applyFont="1" applyBorder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vertical="center"/>
    </xf>
    <xf numFmtId="165" fontId="15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left"/>
    </xf>
    <xf numFmtId="0" fontId="19" fillId="2" borderId="4" xfId="0" applyFont="1" applyFill="1" applyBorder="1" applyAlignment="1">
      <alignment horizontal="left" vertical="center"/>
    </xf>
    <xf numFmtId="0" fontId="19" fillId="0" borderId="4" xfId="0" applyFont="1" applyBorder="1"/>
    <xf numFmtId="0" fontId="19" fillId="0" borderId="0" xfId="0" applyFont="1"/>
    <xf numFmtId="0" fontId="19" fillId="0" borderId="0" xfId="0" applyFont="1" applyAlignment="1">
      <alignment horizontal="right" vertical="center"/>
    </xf>
    <xf numFmtId="164" fontId="18" fillId="0" borderId="15" xfId="0" applyNumberFormat="1" applyFont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19" fillId="0" borderId="0" xfId="0" applyFont="1" applyAlignment="1">
      <alignment horizontal="right" vertical="top"/>
    </xf>
    <xf numFmtId="0" fontId="19" fillId="2" borderId="12" xfId="0" applyFont="1" applyFill="1" applyBorder="1" applyAlignment="1">
      <alignment horizontal="left"/>
    </xf>
    <xf numFmtId="0" fontId="19" fillId="0" borderId="12" xfId="0" applyFont="1" applyBorder="1" applyAlignment="1">
      <alignment horizontal="right"/>
    </xf>
    <xf numFmtId="0" fontId="19" fillId="0" borderId="9" xfId="0" applyFont="1" applyBorder="1" applyAlignment="1">
      <alignment horizontal="right"/>
    </xf>
    <xf numFmtId="0" fontId="19" fillId="0" borderId="9" xfId="0" applyFont="1" applyBorder="1"/>
    <xf numFmtId="0" fontId="15" fillId="0" borderId="9" xfId="0" applyFont="1" applyBorder="1" applyAlignment="1">
      <alignment horizontal="center"/>
    </xf>
    <xf numFmtId="0" fontId="15" fillId="0" borderId="9" xfId="0" applyFont="1" applyBorder="1" applyAlignment="1">
      <alignment horizontal="left"/>
    </xf>
    <xf numFmtId="0" fontId="30" fillId="0" borderId="9" xfId="0" applyFont="1" applyBorder="1"/>
    <xf numFmtId="0" fontId="30" fillId="0" borderId="10" xfId="0" applyFont="1" applyBorder="1"/>
    <xf numFmtId="0" fontId="15" fillId="0" borderId="15" xfId="0" applyFont="1" applyBorder="1" applyAlignment="1">
      <alignment horizontal="center" vertical="center"/>
    </xf>
    <xf numFmtId="164" fontId="15" fillId="0" borderId="15" xfId="1" applyFont="1" applyBorder="1" applyAlignment="1">
      <alignment horizontal="center" vertical="center"/>
    </xf>
    <xf numFmtId="0" fontId="6" fillId="2" borderId="0" xfId="0" applyFont="1" applyFill="1" applyAlignment="1">
      <alignment vertical="top" wrapText="1"/>
    </xf>
    <xf numFmtId="0" fontId="22" fillId="2" borderId="0" xfId="0" applyFont="1" applyFill="1" applyAlignment="1">
      <alignment horizontal="left" vertical="top"/>
    </xf>
    <xf numFmtId="0" fontId="7" fillId="2" borderId="0" xfId="0" applyFont="1" applyFill="1" applyAlignment="1">
      <alignment vertical="top"/>
    </xf>
    <xf numFmtId="0" fontId="7" fillId="0" borderId="0" xfId="0" applyFont="1" applyAlignment="1">
      <alignment vertical="top"/>
    </xf>
    <xf numFmtId="0" fontId="22" fillId="2" borderId="0" xfId="0" applyFont="1" applyFill="1" applyAlignment="1">
      <alignment horizontal="left" vertical="top" wrapText="1"/>
    </xf>
    <xf numFmtId="0" fontId="34" fillId="2" borderId="0" xfId="0" applyFont="1" applyFill="1" applyAlignment="1">
      <alignment horizontal="left" vertical="top"/>
    </xf>
    <xf numFmtId="0" fontId="7" fillId="2" borderId="0" xfId="0" applyFont="1" applyFill="1" applyAlignment="1">
      <alignment horizontal="left" vertical="top"/>
    </xf>
    <xf numFmtId="0" fontId="11" fillId="0" borderId="0" xfId="2" applyFont="1" applyAlignment="1">
      <alignment horizontal="center" vertical="top"/>
    </xf>
    <xf numFmtId="0" fontId="10" fillId="0" borderId="0" xfId="2" applyAlignment="1">
      <alignment vertical="top"/>
    </xf>
    <xf numFmtId="164" fontId="15" fillId="0" borderId="17" xfId="0" applyNumberFormat="1" applyFont="1" applyBorder="1" applyAlignment="1">
      <alignment horizontal="left" vertical="center" wrapText="1"/>
    </xf>
    <xf numFmtId="0" fontId="23" fillId="5" borderId="32" xfId="0" applyFont="1" applyFill="1" applyBorder="1" applyAlignment="1">
      <alignment horizontal="center" vertical="center" wrapText="1"/>
    </xf>
    <xf numFmtId="0" fontId="19" fillId="0" borderId="23" xfId="0" applyFont="1" applyBorder="1" applyAlignment="1">
      <alignment horizontal="left" vertical="top" wrapText="1"/>
    </xf>
    <xf numFmtId="0" fontId="19" fillId="0" borderId="25" xfId="0" applyFont="1" applyBorder="1" applyAlignment="1">
      <alignment horizontal="left" vertical="top"/>
    </xf>
    <xf numFmtId="0" fontId="19" fillId="0" borderId="27" xfId="0" applyFont="1" applyBorder="1" applyAlignment="1">
      <alignment horizontal="left" vertical="top"/>
    </xf>
    <xf numFmtId="0" fontId="19" fillId="0" borderId="17" xfId="0" applyFont="1" applyBorder="1" applyAlignment="1">
      <alignment horizontal="left" vertical="top"/>
    </xf>
    <xf numFmtId="0" fontId="19" fillId="0" borderId="5" xfId="0" applyFont="1" applyBorder="1" applyAlignment="1">
      <alignment horizontal="left" vertical="top"/>
    </xf>
    <xf numFmtId="0" fontId="19" fillId="0" borderId="28" xfId="0" applyFont="1" applyBorder="1" applyAlignment="1">
      <alignment horizontal="left" vertical="top"/>
    </xf>
    <xf numFmtId="0" fontId="6" fillId="2" borderId="0" xfId="0" applyFont="1" applyFill="1" applyAlignment="1">
      <alignment horizontal="left" vertical="top" wrapText="1"/>
    </xf>
    <xf numFmtId="0" fontId="7" fillId="2" borderId="0" xfId="0" applyFont="1" applyFill="1" applyAlignment="1">
      <alignment horizontal="left" vertical="top"/>
    </xf>
    <xf numFmtId="164" fontId="15" fillId="0" borderId="7" xfId="0" applyNumberFormat="1" applyFont="1" applyBorder="1" applyAlignment="1">
      <alignment horizontal="left" vertical="center" wrapText="1"/>
    </xf>
    <xf numFmtId="164" fontId="15" fillId="0" borderId="26" xfId="0" applyNumberFormat="1" applyFont="1" applyBorder="1" applyAlignment="1">
      <alignment horizontal="left" vertical="center" wrapText="1"/>
    </xf>
    <xf numFmtId="164" fontId="15" fillId="0" borderId="8" xfId="0" applyNumberFormat="1" applyFont="1" applyBorder="1" applyAlignment="1">
      <alignment horizontal="left" vertical="center" wrapText="1"/>
    </xf>
    <xf numFmtId="164" fontId="15" fillId="0" borderId="7" xfId="0" applyNumberFormat="1" applyFont="1" applyBorder="1" applyAlignment="1">
      <alignment horizontal="center" vertical="center"/>
    </xf>
    <xf numFmtId="164" fontId="15" fillId="0" borderId="26" xfId="0" applyNumberFormat="1" applyFont="1" applyBorder="1" applyAlignment="1">
      <alignment horizontal="center" vertical="center"/>
    </xf>
    <xf numFmtId="164" fontId="15" fillId="0" borderId="8" xfId="0" applyNumberFormat="1" applyFont="1" applyBorder="1" applyAlignment="1">
      <alignment horizontal="center" vertical="center"/>
    </xf>
    <xf numFmtId="0" fontId="15" fillId="2" borderId="21" xfId="0" applyFont="1" applyFill="1" applyBorder="1" applyAlignment="1">
      <alignment horizontal="left" vertical="center" wrapText="1"/>
    </xf>
    <xf numFmtId="0" fontId="15" fillId="2" borderId="22" xfId="0" applyFont="1" applyFill="1" applyBorder="1" applyAlignment="1">
      <alignment horizontal="left" vertical="center" wrapText="1"/>
    </xf>
    <xf numFmtId="0" fontId="15" fillId="2" borderId="7" xfId="0" applyFont="1" applyFill="1" applyBorder="1" applyAlignment="1">
      <alignment horizontal="left" vertical="center" wrapText="1"/>
    </xf>
    <xf numFmtId="0" fontId="15" fillId="2" borderId="8" xfId="0" applyFont="1" applyFill="1" applyBorder="1" applyAlignment="1">
      <alignment horizontal="left" vertical="center" wrapText="1"/>
    </xf>
    <xf numFmtId="0" fontId="15" fillId="2" borderId="7" xfId="0" applyFont="1" applyFill="1" applyBorder="1" applyAlignment="1">
      <alignment horizontal="left" vertical="center"/>
    </xf>
    <xf numFmtId="0" fontId="15" fillId="2" borderId="8" xfId="0" applyFont="1" applyFill="1" applyBorder="1" applyAlignment="1">
      <alignment horizontal="left" vertical="center"/>
    </xf>
    <xf numFmtId="0" fontId="7" fillId="2" borderId="0" xfId="0" applyFont="1" applyFill="1" applyAlignment="1">
      <alignment vertical="top" wrapText="1"/>
    </xf>
    <xf numFmtId="165" fontId="15" fillId="2" borderId="23" xfId="0" applyNumberFormat="1" applyFont="1" applyFill="1" applyBorder="1" applyAlignment="1">
      <alignment horizontal="left" vertical="top" wrapText="1"/>
    </xf>
    <xf numFmtId="165" fontId="15" fillId="2" borderId="25" xfId="0" applyNumberFormat="1" applyFont="1" applyFill="1" applyBorder="1" applyAlignment="1">
      <alignment horizontal="left" vertical="top" wrapText="1"/>
    </xf>
    <xf numFmtId="165" fontId="15" fillId="2" borderId="27" xfId="0" applyNumberFormat="1" applyFont="1" applyFill="1" applyBorder="1" applyAlignment="1">
      <alignment horizontal="left" vertical="top" wrapText="1"/>
    </xf>
    <xf numFmtId="165" fontId="15" fillId="2" borderId="24" xfId="0" applyNumberFormat="1" applyFont="1" applyFill="1" applyBorder="1" applyAlignment="1">
      <alignment horizontal="left" vertical="top" wrapText="1"/>
    </xf>
    <xf numFmtId="165" fontId="15" fillId="2" borderId="0" xfId="0" applyNumberFormat="1" applyFont="1" applyFill="1" applyAlignment="1">
      <alignment horizontal="left" vertical="top" wrapText="1"/>
    </xf>
    <xf numFmtId="165" fontId="15" fillId="2" borderId="31" xfId="0" applyNumberFormat="1" applyFont="1" applyFill="1" applyBorder="1" applyAlignment="1">
      <alignment horizontal="left" vertical="top" wrapText="1"/>
    </xf>
    <xf numFmtId="165" fontId="15" fillId="2" borderId="17" xfId="0" applyNumberFormat="1" applyFont="1" applyFill="1" applyBorder="1" applyAlignment="1">
      <alignment horizontal="left" vertical="top" wrapText="1"/>
    </xf>
    <xf numFmtId="165" fontId="15" fillId="2" borderId="5" xfId="0" applyNumberFormat="1" applyFont="1" applyFill="1" applyBorder="1" applyAlignment="1">
      <alignment horizontal="left" vertical="top" wrapText="1"/>
    </xf>
    <xf numFmtId="165" fontId="15" fillId="2" borderId="28" xfId="0" applyNumberFormat="1" applyFont="1" applyFill="1" applyBorder="1" applyAlignment="1">
      <alignment horizontal="left" vertical="top" wrapText="1"/>
    </xf>
    <xf numFmtId="0" fontId="34" fillId="2" borderId="0" xfId="0" applyFont="1" applyFill="1" applyAlignment="1">
      <alignment vertical="top" wrapText="1"/>
    </xf>
    <xf numFmtId="0" fontId="19" fillId="2" borderId="0" xfId="0" applyFont="1" applyFill="1" applyAlignment="1">
      <alignment vertical="top" wrapText="1"/>
    </xf>
    <xf numFmtId="164" fontId="15" fillId="0" borderId="21" xfId="0" applyNumberFormat="1" applyFont="1" applyBorder="1" applyAlignment="1">
      <alignment horizontal="left" vertical="center" wrapText="1"/>
    </xf>
    <xf numFmtId="164" fontId="15" fillId="0" borderId="30" xfId="0" applyNumberFormat="1" applyFont="1" applyBorder="1" applyAlignment="1">
      <alignment horizontal="left" vertical="center" wrapText="1"/>
    </xf>
    <xf numFmtId="164" fontId="15" fillId="0" borderId="22" xfId="0" applyNumberFormat="1" applyFont="1" applyBorder="1" applyAlignment="1">
      <alignment horizontal="left" vertical="center" wrapText="1"/>
    </xf>
  </cellXfs>
  <cellStyles count="3">
    <cellStyle name="Currency" xfId="1" builtinId="4"/>
    <cellStyle name="Normal" xfId="0" builtinId="0"/>
    <cellStyle name="Normal 2" xfId="2" xr:uid="{00000000-0005-0000-0000-000002000000}"/>
  </cellStyles>
  <dxfs count="5"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167216</xdr:colOff>
      <xdr:row>0</xdr:row>
      <xdr:rowOff>172156</xdr:rowOff>
    </xdr:from>
    <xdr:to>
      <xdr:col>1</xdr:col>
      <xdr:colOff>1704975</xdr:colOff>
      <xdr:row>1</xdr:row>
      <xdr:rowOff>906812</xdr:rowOff>
    </xdr:to>
    <xdr:pic>
      <xdr:nvPicPr>
        <xdr:cNvPr id="2" name="Picture 1" descr="MedDigital_cmyknobld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6291" y="172156"/>
          <a:ext cx="1537759" cy="925156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1048573" totalsRowShown="0" headerRowDxfId="4" dataDxfId="3" headerRowCellStyle="Normal 2" dataCellStyle="Normal 2">
  <autoFilter ref="A1:C1048573" xr:uid="{00000000-0009-0000-0100-000001000000}"/>
  <sortState xmlns:xlrd2="http://schemas.microsoft.com/office/spreadsheetml/2017/richdata2" ref="A2:C244">
    <sortCondition ref="A1:A1048573"/>
  </sortState>
  <tableColumns count="3">
    <tableColumn id="1" xr3:uid="{00000000-0010-0000-0000-000001000000}" name="Cost Center" dataDxfId="2" dataCellStyle="Normal 2"/>
    <tableColumn id="2" xr3:uid="{00000000-0010-0000-0000-000002000000}" name="Reference ID Type" dataDxfId="1" dataCellStyle="Normal 2"/>
    <tableColumn id="3" xr3:uid="{00000000-0010-0000-0000-000003000000}" name="Reference ID Value" dataDxfId="0" dataCellStyle="Normal 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R54"/>
  <sheetViews>
    <sheetView showGridLines="0" tabSelected="1" topLeftCell="B4" zoomScale="94" zoomScaleNormal="70" workbookViewId="0">
      <selection activeCell="D31" sqref="D31"/>
    </sheetView>
  </sheetViews>
  <sheetFormatPr defaultColWidth="9.140625" defaultRowHeight="15" x14ac:dyDescent="0.25"/>
  <cols>
    <col min="1" max="1" width="3.28515625" customWidth="1"/>
    <col min="2" max="2" width="26" customWidth="1"/>
    <col min="3" max="3" width="17.140625" customWidth="1"/>
    <col min="4" max="4" width="17" customWidth="1"/>
    <col min="5" max="5" width="24.5703125" customWidth="1"/>
    <col min="6" max="6" width="1.7109375" customWidth="1"/>
    <col min="7" max="7" width="10.85546875" customWidth="1"/>
    <col min="8" max="8" width="16.85546875" customWidth="1"/>
    <col min="9" max="9" width="18.7109375" customWidth="1"/>
    <col min="10" max="10" width="16.5703125" customWidth="1"/>
    <col min="11" max="11" width="17.42578125" customWidth="1"/>
    <col min="12" max="12" width="16.28515625" customWidth="1"/>
    <col min="13" max="13" width="17.5703125" customWidth="1"/>
    <col min="14" max="14" width="10.140625" customWidth="1"/>
    <col min="15" max="15" width="8.85546875" customWidth="1"/>
    <col min="16" max="16" width="19.42578125" customWidth="1"/>
    <col min="17" max="17" width="24.140625" customWidth="1"/>
  </cols>
  <sheetData>
    <row r="2" spans="1:17" ht="108.95" customHeight="1" x14ac:dyDescent="0.25">
      <c r="A2" s="2"/>
      <c r="C2" s="123" t="s">
        <v>0</v>
      </c>
      <c r="D2" s="123"/>
      <c r="E2" s="123"/>
      <c r="F2" s="106"/>
      <c r="G2" s="13"/>
      <c r="M2" s="2"/>
    </row>
    <row r="3" spans="1:17" ht="18.75" thickBot="1" x14ac:dyDescent="0.4">
      <c r="A3" s="2"/>
      <c r="B3" s="63" t="s">
        <v>1</v>
      </c>
      <c r="C3" s="64" t="s">
        <v>2</v>
      </c>
      <c r="D3" s="63"/>
      <c r="E3" s="65"/>
      <c r="F3" s="65"/>
      <c r="G3" s="65"/>
      <c r="H3" s="63" t="s">
        <v>3</v>
      </c>
      <c r="I3" s="63"/>
      <c r="J3" s="22"/>
      <c r="K3" s="22"/>
      <c r="L3" s="22"/>
      <c r="M3" s="65"/>
      <c r="N3" s="65"/>
    </row>
    <row r="4" spans="1:17" ht="19.5" x14ac:dyDescent="0.35">
      <c r="A4" s="3"/>
      <c r="B4" s="66"/>
      <c r="C4" s="67"/>
      <c r="D4" s="67"/>
      <c r="E4" s="67"/>
      <c r="F4" s="68"/>
      <c r="G4" s="69"/>
      <c r="H4" s="70"/>
      <c r="I4" s="71"/>
      <c r="J4" s="71"/>
      <c r="K4" s="71"/>
      <c r="L4" s="71"/>
      <c r="M4" s="72"/>
      <c r="N4" s="73"/>
    </row>
    <row r="5" spans="1:17" ht="21.95" customHeight="1" x14ac:dyDescent="0.35">
      <c r="A5" s="4"/>
      <c r="B5" s="74" t="s">
        <v>4</v>
      </c>
      <c r="C5" s="75" t="s">
        <v>631</v>
      </c>
      <c r="D5" s="76" t="s">
        <v>5</v>
      </c>
      <c r="E5" s="65"/>
      <c r="F5" s="77"/>
      <c r="G5" s="65"/>
      <c r="H5" s="78"/>
      <c r="I5" s="79"/>
      <c r="J5" s="79" t="s">
        <v>6</v>
      </c>
      <c r="K5" s="80" t="s">
        <v>7</v>
      </c>
      <c r="L5" s="79" t="s">
        <v>8</v>
      </c>
      <c r="M5" s="75"/>
      <c r="N5" s="81"/>
      <c r="O5" s="17"/>
    </row>
    <row r="6" spans="1:17" ht="9.75" customHeight="1" x14ac:dyDescent="0.35">
      <c r="A6" s="4"/>
      <c r="B6" s="82"/>
      <c r="C6" s="83"/>
      <c r="D6" s="83"/>
      <c r="E6" s="65"/>
      <c r="F6" s="77"/>
      <c r="G6" s="65"/>
      <c r="H6" s="84"/>
      <c r="I6" s="85"/>
      <c r="J6" s="86"/>
      <c r="K6" s="87"/>
      <c r="L6" s="88"/>
      <c r="M6" s="65"/>
      <c r="N6" s="77"/>
    </row>
    <row r="7" spans="1:17" ht="23.25" x14ac:dyDescent="0.35">
      <c r="A7" s="4"/>
      <c r="B7" s="89" t="s">
        <v>9</v>
      </c>
      <c r="C7" s="138" t="s">
        <v>632</v>
      </c>
      <c r="D7" s="139"/>
      <c r="E7" s="140"/>
      <c r="F7" s="44"/>
      <c r="G7" s="65"/>
      <c r="H7" s="90"/>
      <c r="I7" s="91"/>
      <c r="J7" s="92" t="s">
        <v>10</v>
      </c>
      <c r="K7" s="93" t="str">
        <f>IF(SUM(C26)=SUM(D26), "IN BALANCE", "OUT OF BALANCE")</f>
        <v>IN BALANCE</v>
      </c>
      <c r="L7" s="79"/>
      <c r="M7" s="79"/>
      <c r="N7" s="81"/>
      <c r="O7" s="17"/>
    </row>
    <row r="8" spans="1:17" ht="11.45" customHeight="1" x14ac:dyDescent="0.35">
      <c r="A8" s="4"/>
      <c r="B8" s="89"/>
      <c r="C8" s="141"/>
      <c r="D8" s="142"/>
      <c r="E8" s="143"/>
      <c r="F8" s="44"/>
      <c r="G8" s="65"/>
      <c r="H8" s="90"/>
      <c r="I8" s="91"/>
      <c r="J8" s="79"/>
      <c r="K8" s="94"/>
      <c r="L8" s="76"/>
      <c r="M8" s="65"/>
      <c r="N8" s="77"/>
    </row>
    <row r="9" spans="1:17" ht="25.7" customHeight="1" x14ac:dyDescent="0.35">
      <c r="A9" s="4"/>
      <c r="B9" s="89"/>
      <c r="C9" s="141"/>
      <c r="D9" s="142"/>
      <c r="E9" s="143"/>
      <c r="F9" s="44"/>
      <c r="G9" s="65"/>
      <c r="H9" s="90"/>
      <c r="I9" s="95" t="s">
        <v>11</v>
      </c>
      <c r="J9" s="117" t="s">
        <v>632</v>
      </c>
      <c r="K9" s="118"/>
      <c r="L9" s="118"/>
      <c r="M9" s="119"/>
      <c r="N9" s="77"/>
    </row>
    <row r="10" spans="1:17" ht="12.75" customHeight="1" x14ac:dyDescent="0.35">
      <c r="A10" s="4"/>
      <c r="B10" s="82"/>
      <c r="C10" s="144"/>
      <c r="D10" s="145"/>
      <c r="E10" s="146"/>
      <c r="F10" s="44"/>
      <c r="G10" s="65"/>
      <c r="H10" s="78"/>
      <c r="I10" s="79"/>
      <c r="J10" s="120"/>
      <c r="K10" s="121"/>
      <c r="L10" s="121"/>
      <c r="M10" s="122"/>
      <c r="N10" s="77"/>
    </row>
    <row r="11" spans="1:17" ht="35.25" customHeight="1" thickBot="1" x14ac:dyDescent="0.4">
      <c r="A11" s="4"/>
      <c r="B11" s="96"/>
      <c r="C11" s="45"/>
      <c r="D11" s="45"/>
      <c r="E11" s="45"/>
      <c r="F11" s="46"/>
      <c r="G11" s="65"/>
      <c r="H11" s="97"/>
      <c r="I11" s="98"/>
      <c r="J11" s="99"/>
      <c r="K11" s="100"/>
      <c r="L11" s="101"/>
      <c r="M11" s="102"/>
      <c r="N11" s="103"/>
    </row>
    <row r="12" spans="1:17" ht="24" customHeight="1" thickBot="1" x14ac:dyDescent="0.4">
      <c r="A12" s="2"/>
      <c r="B12" s="63" t="s">
        <v>12</v>
      </c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9"/>
      <c r="N12" s="65"/>
      <c r="O12" s="65"/>
      <c r="P12" s="47" t="s">
        <v>13</v>
      </c>
      <c r="Q12" s="31"/>
    </row>
    <row r="13" spans="1:17" s="5" customFormat="1" ht="52.5" customHeight="1" thickBot="1" x14ac:dyDescent="0.3">
      <c r="A13" s="1"/>
      <c r="B13" s="48" t="s">
        <v>14</v>
      </c>
      <c r="C13" s="49" t="s">
        <v>15</v>
      </c>
      <c r="D13" s="49" t="s">
        <v>16</v>
      </c>
      <c r="E13" s="50" t="s">
        <v>17</v>
      </c>
      <c r="F13" s="51"/>
      <c r="G13" s="52"/>
      <c r="H13" s="49" t="s">
        <v>18</v>
      </c>
      <c r="I13" s="49" t="s">
        <v>19</v>
      </c>
      <c r="J13" s="49" t="s">
        <v>20</v>
      </c>
      <c r="K13" s="49" t="s">
        <v>21</v>
      </c>
      <c r="L13" s="49" t="s">
        <v>22</v>
      </c>
      <c r="M13" s="49" t="s">
        <v>23</v>
      </c>
      <c r="N13" s="50" t="s">
        <v>24</v>
      </c>
      <c r="O13" s="52"/>
      <c r="P13" s="49" t="s">
        <v>25</v>
      </c>
      <c r="Q13" s="116" t="s">
        <v>26</v>
      </c>
    </row>
    <row r="14" spans="1:17" ht="68.25" customHeight="1" thickBot="1" x14ac:dyDescent="0.3">
      <c r="A14" s="2"/>
      <c r="B14" s="40"/>
      <c r="C14" s="18">
        <f>79.7*1.08</f>
        <v>86.076000000000008</v>
      </c>
      <c r="D14" s="19"/>
      <c r="E14" s="149" t="s">
        <v>632</v>
      </c>
      <c r="F14" s="150"/>
      <c r="G14" s="151"/>
      <c r="H14" s="115" t="s">
        <v>626</v>
      </c>
      <c r="I14" s="35"/>
      <c r="J14" s="35" t="s">
        <v>633</v>
      </c>
      <c r="K14" s="35"/>
      <c r="L14" s="35"/>
      <c r="M14" s="37"/>
      <c r="N14" s="131" t="s">
        <v>616</v>
      </c>
      <c r="O14" s="132"/>
      <c r="P14" s="38"/>
      <c r="Q14" s="36" t="s">
        <v>634</v>
      </c>
    </row>
    <row r="15" spans="1:17" ht="72" customHeight="1" x14ac:dyDescent="0.25">
      <c r="A15" s="2"/>
      <c r="B15" s="41"/>
      <c r="C15" s="20"/>
      <c r="D15" s="18">
        <f>79.7*1.08</f>
        <v>86.076000000000008</v>
      </c>
      <c r="E15" s="149" t="s">
        <v>632</v>
      </c>
      <c r="F15" s="150"/>
      <c r="G15" s="151"/>
      <c r="H15" s="36"/>
      <c r="I15" s="115" t="s">
        <v>627</v>
      </c>
      <c r="J15" s="36"/>
      <c r="K15" s="36"/>
      <c r="L15" s="36"/>
      <c r="M15" s="37" t="s">
        <v>368</v>
      </c>
      <c r="N15" s="133" t="s">
        <v>616</v>
      </c>
      <c r="O15" s="134"/>
      <c r="P15" s="39"/>
      <c r="Q15" s="36" t="s">
        <v>628</v>
      </c>
    </row>
    <row r="16" spans="1:17" ht="18" x14ac:dyDescent="0.25">
      <c r="A16" s="2"/>
      <c r="B16" s="41"/>
      <c r="C16" s="20"/>
      <c r="D16" s="21"/>
      <c r="E16" s="125"/>
      <c r="F16" s="126"/>
      <c r="G16" s="127"/>
      <c r="H16" s="36"/>
      <c r="I16" s="36"/>
      <c r="J16" s="36"/>
      <c r="K16" s="36"/>
      <c r="L16" s="36"/>
      <c r="M16" s="37"/>
      <c r="N16" s="133"/>
      <c r="O16" s="134"/>
      <c r="P16" s="39"/>
      <c r="Q16" s="36"/>
    </row>
    <row r="17" spans="1:17" ht="18" x14ac:dyDescent="0.25">
      <c r="A17" s="2"/>
      <c r="B17" s="41"/>
      <c r="C17" s="20"/>
      <c r="D17" s="21"/>
      <c r="E17" s="125"/>
      <c r="F17" s="126"/>
      <c r="G17" s="127"/>
      <c r="H17" s="36"/>
      <c r="I17" s="36"/>
      <c r="J17" s="36"/>
      <c r="K17" s="36"/>
      <c r="L17" s="36"/>
      <c r="M17" s="37"/>
      <c r="N17" s="133"/>
      <c r="O17" s="134"/>
      <c r="P17" s="39"/>
      <c r="Q17" s="36"/>
    </row>
    <row r="18" spans="1:17" ht="18" x14ac:dyDescent="0.25">
      <c r="A18" s="2"/>
      <c r="B18" s="41"/>
      <c r="C18" s="20"/>
      <c r="D18" s="21"/>
      <c r="E18" s="125"/>
      <c r="F18" s="126"/>
      <c r="G18" s="127"/>
      <c r="H18" s="36"/>
      <c r="I18" s="36"/>
      <c r="J18" s="36"/>
      <c r="K18" s="36"/>
      <c r="L18" s="36"/>
      <c r="M18" s="37"/>
      <c r="N18" s="133"/>
      <c r="O18" s="134"/>
      <c r="P18" s="39"/>
      <c r="Q18" s="36"/>
    </row>
    <row r="19" spans="1:17" ht="18" x14ac:dyDescent="0.25">
      <c r="A19" s="2"/>
      <c r="B19" s="41"/>
      <c r="C19" s="20"/>
      <c r="D19" s="21"/>
      <c r="E19" s="125"/>
      <c r="F19" s="126"/>
      <c r="G19" s="127"/>
      <c r="H19" s="36"/>
      <c r="I19" s="36"/>
      <c r="J19" s="36"/>
      <c r="K19" s="36"/>
      <c r="L19" s="36"/>
      <c r="M19" s="37"/>
      <c r="N19" s="133"/>
      <c r="O19" s="134"/>
      <c r="P19" s="39"/>
      <c r="Q19" s="36"/>
    </row>
    <row r="20" spans="1:17" ht="18" x14ac:dyDescent="0.25">
      <c r="A20" s="2"/>
      <c r="B20" s="41"/>
      <c r="C20" s="20"/>
      <c r="D20" s="21"/>
      <c r="E20" s="125"/>
      <c r="F20" s="126"/>
      <c r="G20" s="127"/>
      <c r="H20" s="36"/>
      <c r="I20" s="36"/>
      <c r="J20" s="36"/>
      <c r="K20" s="36"/>
      <c r="L20" s="36"/>
      <c r="M20" s="37"/>
      <c r="N20" s="133"/>
      <c r="O20" s="134"/>
      <c r="P20" s="39"/>
      <c r="Q20" s="36"/>
    </row>
    <row r="21" spans="1:17" ht="18" x14ac:dyDescent="0.25">
      <c r="A21" s="2"/>
      <c r="B21" s="41"/>
      <c r="C21" s="20"/>
      <c r="D21" s="21"/>
      <c r="E21" s="125"/>
      <c r="F21" s="126"/>
      <c r="G21" s="127"/>
      <c r="H21" s="36"/>
      <c r="I21" s="36"/>
      <c r="J21" s="36"/>
      <c r="K21" s="36"/>
      <c r="L21" s="36"/>
      <c r="M21" s="37"/>
      <c r="N21" s="133"/>
      <c r="O21" s="134"/>
      <c r="P21" s="39"/>
      <c r="Q21" s="36"/>
    </row>
    <row r="22" spans="1:17" ht="18" x14ac:dyDescent="0.25">
      <c r="A22" s="2"/>
      <c r="B22" s="41"/>
      <c r="C22" s="20"/>
      <c r="D22" s="21"/>
      <c r="E22" s="125"/>
      <c r="F22" s="126"/>
      <c r="G22" s="127"/>
      <c r="H22" s="36"/>
      <c r="I22" s="36"/>
      <c r="J22" s="36"/>
      <c r="K22" s="36"/>
      <c r="L22" s="36"/>
      <c r="M22" s="37"/>
      <c r="N22" s="133"/>
      <c r="O22" s="134"/>
      <c r="P22" s="39"/>
      <c r="Q22" s="36"/>
    </row>
    <row r="23" spans="1:17" ht="18" x14ac:dyDescent="0.25">
      <c r="A23" s="2"/>
      <c r="B23" s="41"/>
      <c r="C23" s="20"/>
      <c r="D23" s="21"/>
      <c r="E23" s="125"/>
      <c r="F23" s="126"/>
      <c r="G23" s="127"/>
      <c r="H23" s="36"/>
      <c r="I23" s="36"/>
      <c r="J23" s="36"/>
      <c r="K23" s="36"/>
      <c r="L23" s="36"/>
      <c r="M23" s="37"/>
      <c r="N23" s="133"/>
      <c r="O23" s="134"/>
      <c r="P23" s="39"/>
      <c r="Q23" s="36"/>
    </row>
    <row r="24" spans="1:17" ht="18" x14ac:dyDescent="0.25">
      <c r="A24" s="2"/>
      <c r="B24" s="41"/>
      <c r="C24" s="20"/>
      <c r="D24" s="21"/>
      <c r="E24" s="125"/>
      <c r="F24" s="126"/>
      <c r="G24" s="127"/>
      <c r="H24" s="36"/>
      <c r="I24" s="36"/>
      <c r="J24" s="36"/>
      <c r="K24" s="36"/>
      <c r="L24" s="36"/>
      <c r="M24" s="37"/>
      <c r="N24" s="133"/>
      <c r="O24" s="134"/>
      <c r="P24" s="39"/>
      <c r="Q24" s="36"/>
    </row>
    <row r="25" spans="1:17" ht="18" x14ac:dyDescent="0.25">
      <c r="A25" s="2"/>
      <c r="B25" s="41"/>
      <c r="C25" s="20"/>
      <c r="D25" s="21"/>
      <c r="E25" s="125"/>
      <c r="F25" s="126"/>
      <c r="G25" s="127"/>
      <c r="H25" s="36"/>
      <c r="I25" s="36"/>
      <c r="J25" s="36"/>
      <c r="K25" s="36"/>
      <c r="L25" s="36"/>
      <c r="M25" s="37"/>
      <c r="N25" s="133"/>
      <c r="O25" s="134"/>
      <c r="P25" s="39"/>
      <c r="Q25" s="36"/>
    </row>
    <row r="26" spans="1:17" ht="18" x14ac:dyDescent="0.25">
      <c r="A26" s="2"/>
      <c r="B26" s="104" t="s">
        <v>27</v>
      </c>
      <c r="C26" s="105">
        <f>SUM(C14:C25)</f>
        <v>86.076000000000008</v>
      </c>
      <c r="D26" s="105">
        <f>SUM(D14:D25)</f>
        <v>86.076000000000008</v>
      </c>
      <c r="E26" s="128"/>
      <c r="F26" s="129"/>
      <c r="G26" s="130"/>
      <c r="H26" s="36"/>
      <c r="I26" s="36"/>
      <c r="J26" s="36"/>
      <c r="K26" s="36"/>
      <c r="L26" s="36"/>
      <c r="M26" s="37"/>
      <c r="N26" s="135"/>
      <c r="O26" s="136"/>
      <c r="P26" s="39"/>
      <c r="Q26" s="36"/>
    </row>
    <row r="27" spans="1:17" ht="18.75" thickBot="1" x14ac:dyDescent="0.4">
      <c r="A27" s="2"/>
      <c r="B27" s="69"/>
      <c r="C27" s="69"/>
      <c r="D27" s="69"/>
      <c r="E27" s="69"/>
      <c r="F27" s="69"/>
      <c r="G27" s="69"/>
      <c r="H27" s="69"/>
      <c r="I27" s="69"/>
      <c r="J27" s="69"/>
      <c r="K27" s="22"/>
      <c r="L27" s="69"/>
      <c r="M27" s="69"/>
      <c r="N27" s="22"/>
      <c r="O27" s="22"/>
      <c r="P27" s="53" t="s">
        <v>28</v>
      </c>
      <c r="Q27" s="69"/>
    </row>
    <row r="28" spans="1:17" ht="18.75" x14ac:dyDescent="0.3">
      <c r="A28" s="3"/>
      <c r="B28" s="23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5"/>
    </row>
    <row r="29" spans="1:17" ht="24.75" customHeight="1" x14ac:dyDescent="0.3">
      <c r="A29" s="3"/>
      <c r="B29" s="42" t="s">
        <v>629</v>
      </c>
      <c r="C29" s="26"/>
      <c r="D29" s="43" t="s">
        <v>630</v>
      </c>
      <c r="E29" s="26"/>
      <c r="F29" s="26"/>
      <c r="G29" s="26"/>
      <c r="H29" s="43"/>
      <c r="I29" s="43"/>
      <c r="J29" s="26"/>
      <c r="K29" s="43"/>
      <c r="L29" s="26"/>
      <c r="M29" s="43" t="s">
        <v>631</v>
      </c>
      <c r="N29" s="26"/>
      <c r="O29" s="26"/>
      <c r="P29" s="26"/>
      <c r="Q29" s="27"/>
    </row>
    <row r="30" spans="1:17" ht="18.75" x14ac:dyDescent="0.3">
      <c r="A30" s="3"/>
      <c r="B30" s="56" t="s">
        <v>29</v>
      </c>
      <c r="C30" s="57"/>
      <c r="D30" s="57" t="s">
        <v>30</v>
      </c>
      <c r="E30" s="57"/>
      <c r="F30" s="57"/>
      <c r="G30" s="57"/>
      <c r="H30" s="57" t="s">
        <v>31</v>
      </c>
      <c r="I30" s="57"/>
      <c r="J30" s="57"/>
      <c r="K30" s="57" t="s">
        <v>32</v>
      </c>
      <c r="L30" s="57"/>
      <c r="M30" s="58" t="s">
        <v>33</v>
      </c>
      <c r="N30" s="28"/>
      <c r="O30" s="28"/>
      <c r="P30" s="28"/>
      <c r="Q30" s="29"/>
    </row>
    <row r="31" spans="1:17" ht="38.25" customHeight="1" x14ac:dyDescent="0.3">
      <c r="A31" s="3"/>
      <c r="B31" s="42" t="s">
        <v>635</v>
      </c>
      <c r="C31" s="54"/>
      <c r="D31" s="43" t="s">
        <v>636</v>
      </c>
      <c r="E31" s="54"/>
      <c r="F31" s="54"/>
      <c r="G31" s="54"/>
      <c r="H31" s="55"/>
      <c r="I31" s="55"/>
      <c r="J31" s="54"/>
      <c r="K31" s="55"/>
      <c r="L31" s="54"/>
      <c r="M31" s="43" t="s">
        <v>631</v>
      </c>
      <c r="N31" s="26"/>
      <c r="O31" s="26"/>
      <c r="P31" s="26"/>
      <c r="Q31" s="27"/>
    </row>
    <row r="32" spans="1:17" ht="25.7" customHeight="1" thickBot="1" x14ac:dyDescent="0.35">
      <c r="A32" s="3"/>
      <c r="B32" s="59" t="s">
        <v>34</v>
      </c>
      <c r="C32" s="60"/>
      <c r="D32" s="60" t="s">
        <v>35</v>
      </c>
      <c r="E32" s="60"/>
      <c r="F32" s="60"/>
      <c r="G32" s="60"/>
      <c r="H32" s="60" t="s">
        <v>31</v>
      </c>
      <c r="I32" s="60"/>
      <c r="J32" s="60"/>
      <c r="K32" s="60" t="s">
        <v>32</v>
      </c>
      <c r="L32" s="60"/>
      <c r="M32" s="61" t="s">
        <v>33</v>
      </c>
      <c r="N32" s="30"/>
      <c r="O32" s="30"/>
      <c r="P32" s="30"/>
      <c r="Q32" s="32"/>
    </row>
    <row r="33" spans="1:18" ht="9.1999999999999993" customHeight="1" x14ac:dyDescent="0.3">
      <c r="A33" s="33"/>
      <c r="B33" s="6"/>
      <c r="C33" s="6"/>
      <c r="D33" s="6"/>
      <c r="E33" s="6"/>
      <c r="F33" s="6"/>
      <c r="G33" s="6"/>
      <c r="H33" s="6"/>
      <c r="I33" s="6"/>
    </row>
    <row r="34" spans="1:18" ht="21" x14ac:dyDescent="0.35">
      <c r="A34" s="2"/>
      <c r="B34" s="62" t="s">
        <v>36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</row>
    <row r="37" spans="1:18" s="12" customFormat="1" ht="23.25" x14ac:dyDescent="0.25">
      <c r="A37" s="112"/>
      <c r="B37" s="111" t="s">
        <v>37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1"/>
      <c r="N37" s="11"/>
      <c r="O37" s="11"/>
      <c r="P37" s="11"/>
      <c r="Q37" s="11"/>
    </row>
    <row r="38" spans="1:18" ht="25.7" customHeight="1" x14ac:dyDescent="0.25">
      <c r="B38" s="112" t="s">
        <v>38</v>
      </c>
      <c r="C38" s="112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8" ht="16.5" x14ac:dyDescent="0.25">
      <c r="B39" s="124" t="s">
        <v>39</v>
      </c>
      <c r="C39" s="124"/>
      <c r="D39" s="124"/>
      <c r="E39" s="124"/>
      <c r="F39" s="124"/>
      <c r="G39" s="124"/>
      <c r="H39" s="124"/>
      <c r="I39" s="124"/>
      <c r="J39" s="124"/>
      <c r="K39" s="124"/>
      <c r="L39" s="124"/>
      <c r="M39" s="124"/>
      <c r="N39" s="124"/>
      <c r="O39" s="124"/>
      <c r="P39" s="124"/>
      <c r="Q39" s="124"/>
      <c r="R39" s="124"/>
    </row>
    <row r="40" spans="1:18" ht="16.5" x14ac:dyDescent="0.25">
      <c r="B40" s="124" t="s">
        <v>40</v>
      </c>
      <c r="C40" s="124"/>
      <c r="D40" s="124"/>
      <c r="E40" s="124"/>
      <c r="F40" s="124"/>
      <c r="G40" s="124"/>
      <c r="H40" s="124"/>
      <c r="I40" s="124"/>
      <c r="J40" s="124"/>
      <c r="K40" s="124"/>
      <c r="L40" s="124"/>
      <c r="M40" s="124"/>
      <c r="N40" s="124"/>
      <c r="O40" s="124"/>
      <c r="P40" s="124"/>
      <c r="Q40" s="124"/>
    </row>
    <row r="41" spans="1:18" ht="16.5" x14ac:dyDescent="0.25">
      <c r="B41" s="124" t="s">
        <v>41</v>
      </c>
      <c r="C41" s="124"/>
      <c r="D41" s="124"/>
      <c r="E41" s="124"/>
      <c r="F41" s="124"/>
      <c r="G41" s="124"/>
      <c r="H41" s="124"/>
      <c r="I41" s="124"/>
      <c r="J41" s="124"/>
      <c r="K41" s="124"/>
      <c r="L41" s="124"/>
      <c r="M41" s="124"/>
      <c r="N41" s="124"/>
      <c r="O41" s="124"/>
      <c r="P41" s="124"/>
      <c r="Q41" s="124"/>
    </row>
    <row r="44" spans="1:18" ht="18" x14ac:dyDescent="0.25">
      <c r="B44" s="147" t="s">
        <v>42</v>
      </c>
      <c r="C44" s="147"/>
      <c r="D44" s="147"/>
      <c r="E44" s="147"/>
      <c r="F44" s="147"/>
      <c r="G44" s="147"/>
      <c r="H44" s="147"/>
      <c r="I44" s="147"/>
      <c r="J44" s="147"/>
      <c r="K44" s="147"/>
      <c r="L44" s="147"/>
      <c r="M44" s="148"/>
      <c r="N44" s="148"/>
      <c r="O44" s="148"/>
      <c r="P44" s="148"/>
      <c r="Q44" s="148"/>
    </row>
    <row r="45" spans="1:18" ht="16.5" x14ac:dyDescent="0.25">
      <c r="B45" s="107" t="s">
        <v>43</v>
      </c>
      <c r="C45" s="137" t="s">
        <v>44</v>
      </c>
      <c r="D45" s="137"/>
      <c r="E45" s="137"/>
      <c r="F45" s="137"/>
      <c r="G45" s="137"/>
      <c r="H45" s="137"/>
      <c r="I45" s="137"/>
      <c r="J45" s="137"/>
      <c r="K45" s="137"/>
      <c r="L45" s="137"/>
      <c r="M45" s="137"/>
      <c r="N45" s="137"/>
      <c r="O45" s="137"/>
      <c r="P45" s="137"/>
      <c r="Q45" s="137"/>
    </row>
    <row r="46" spans="1:18" ht="16.5" x14ac:dyDescent="0.25">
      <c r="B46" s="107" t="s">
        <v>45</v>
      </c>
      <c r="C46" s="137" t="s">
        <v>46</v>
      </c>
      <c r="D46" s="137"/>
      <c r="E46" s="137"/>
      <c r="F46" s="137"/>
      <c r="G46" s="137"/>
      <c r="H46" s="137"/>
      <c r="I46" s="137"/>
      <c r="J46" s="137"/>
      <c r="K46" s="137"/>
      <c r="L46" s="137"/>
      <c r="M46" s="137"/>
      <c r="N46" s="137"/>
      <c r="O46" s="137"/>
      <c r="P46" s="137"/>
      <c r="Q46" s="137"/>
    </row>
    <row r="47" spans="1:18" ht="16.5" x14ac:dyDescent="0.25">
      <c r="B47" s="107" t="s">
        <v>47</v>
      </c>
      <c r="C47" s="108" t="s">
        <v>48</v>
      </c>
    </row>
    <row r="48" spans="1:18" ht="16.5" x14ac:dyDescent="0.25">
      <c r="B48" s="107" t="s">
        <v>49</v>
      </c>
      <c r="C48" s="108" t="s">
        <v>50</v>
      </c>
    </row>
    <row r="49" spans="2:17" ht="16.5" x14ac:dyDescent="0.25">
      <c r="B49" s="107" t="s">
        <v>51</v>
      </c>
      <c r="C49" s="137" t="s">
        <v>52</v>
      </c>
      <c r="D49" s="137"/>
      <c r="E49" s="137"/>
      <c r="F49" s="137"/>
      <c r="G49" s="137"/>
      <c r="H49" s="137"/>
      <c r="I49" s="137"/>
      <c r="J49" s="137"/>
      <c r="K49" s="137"/>
      <c r="L49" s="137"/>
      <c r="M49" s="137"/>
      <c r="N49" s="137"/>
      <c r="O49" s="137"/>
      <c r="P49" s="137"/>
      <c r="Q49" s="137"/>
    </row>
    <row r="50" spans="2:17" ht="16.5" x14ac:dyDescent="0.25">
      <c r="B50" s="107" t="s">
        <v>21</v>
      </c>
      <c r="C50" s="137" t="s">
        <v>53</v>
      </c>
      <c r="D50" s="137"/>
      <c r="E50" s="137"/>
      <c r="F50" s="137"/>
      <c r="G50" s="137"/>
      <c r="H50" s="137"/>
      <c r="I50" s="137"/>
      <c r="J50" s="137"/>
      <c r="K50" s="137"/>
      <c r="L50" s="137"/>
      <c r="M50" s="137"/>
      <c r="N50" s="137"/>
      <c r="O50" s="137"/>
      <c r="P50" s="137"/>
      <c r="Q50" s="137"/>
    </row>
    <row r="51" spans="2:17" ht="16.5" x14ac:dyDescent="0.25">
      <c r="B51" s="107" t="s">
        <v>22</v>
      </c>
      <c r="C51" s="137" t="s">
        <v>54</v>
      </c>
      <c r="D51" s="137"/>
      <c r="E51" s="137"/>
      <c r="F51" s="137"/>
      <c r="G51" s="137"/>
      <c r="H51" s="137"/>
      <c r="I51" s="137"/>
      <c r="J51" s="137"/>
      <c r="K51" s="137"/>
      <c r="L51" s="137"/>
      <c r="M51" s="137"/>
      <c r="N51" s="137"/>
      <c r="O51" s="137"/>
      <c r="P51" s="137"/>
      <c r="Q51" s="137"/>
    </row>
    <row r="52" spans="2:17" ht="16.5" x14ac:dyDescent="0.25">
      <c r="B52" s="107" t="s">
        <v>55</v>
      </c>
      <c r="C52" s="109" t="s">
        <v>56</v>
      </c>
      <c r="D52" s="108"/>
    </row>
    <row r="53" spans="2:17" ht="16.5" x14ac:dyDescent="0.25">
      <c r="B53" s="107" t="s">
        <v>57</v>
      </c>
      <c r="C53" s="137" t="s">
        <v>58</v>
      </c>
      <c r="D53" s="137"/>
      <c r="E53" s="137"/>
      <c r="F53" s="137"/>
      <c r="G53" s="137"/>
      <c r="H53" s="137"/>
      <c r="I53" s="137"/>
      <c r="J53" s="137"/>
      <c r="K53" s="137"/>
      <c r="L53" s="137"/>
      <c r="M53" s="137"/>
      <c r="N53" s="137"/>
      <c r="O53" s="137"/>
      <c r="P53" s="137"/>
      <c r="Q53" s="137"/>
    </row>
    <row r="54" spans="2:17" ht="39.950000000000003" customHeight="1" x14ac:dyDescent="0.25">
      <c r="B54" s="110" t="s">
        <v>59</v>
      </c>
      <c r="C54" s="137" t="s">
        <v>60</v>
      </c>
      <c r="D54" s="137"/>
      <c r="E54" s="137"/>
      <c r="F54" s="137"/>
      <c r="G54" s="137"/>
      <c r="H54" s="137"/>
      <c r="I54" s="137"/>
      <c r="J54" s="137"/>
      <c r="K54" s="137"/>
      <c r="L54" s="137"/>
      <c r="M54" s="137"/>
      <c r="N54" s="137"/>
      <c r="O54" s="137"/>
      <c r="P54" s="137"/>
      <c r="Q54" s="137"/>
    </row>
  </sheetData>
  <mergeCells count="40">
    <mergeCell ref="C54:Q54"/>
    <mergeCell ref="C7:E10"/>
    <mergeCell ref="C53:Q53"/>
    <mergeCell ref="C50:Q50"/>
    <mergeCell ref="C46:Q46"/>
    <mergeCell ref="C51:Q51"/>
    <mergeCell ref="C45:Q45"/>
    <mergeCell ref="C49:Q49"/>
    <mergeCell ref="B40:Q40"/>
    <mergeCell ref="B41:Q41"/>
    <mergeCell ref="B44:Q44"/>
    <mergeCell ref="E14:G14"/>
    <mergeCell ref="E15:G15"/>
    <mergeCell ref="E16:G16"/>
    <mergeCell ref="E17:G17"/>
    <mergeCell ref="N24:O24"/>
    <mergeCell ref="E18:G18"/>
    <mergeCell ref="N25:O25"/>
    <mergeCell ref="N26:O26"/>
    <mergeCell ref="E19:G19"/>
    <mergeCell ref="E20:G20"/>
    <mergeCell ref="E21:G21"/>
    <mergeCell ref="E22:G22"/>
    <mergeCell ref="E23:G23"/>
    <mergeCell ref="J9:M10"/>
    <mergeCell ref="C2:E2"/>
    <mergeCell ref="B39:R39"/>
    <mergeCell ref="E24:G24"/>
    <mergeCell ref="E25:G25"/>
    <mergeCell ref="E26:G26"/>
    <mergeCell ref="N14:O14"/>
    <mergeCell ref="N15:O15"/>
    <mergeCell ref="N16:O16"/>
    <mergeCell ref="N17:O17"/>
    <mergeCell ref="N18:O18"/>
    <mergeCell ref="N19:O19"/>
    <mergeCell ref="N20:O20"/>
    <mergeCell ref="N21:O21"/>
    <mergeCell ref="N22:O22"/>
    <mergeCell ref="N23:O23"/>
  </mergeCells>
  <dataValidations count="3">
    <dataValidation type="list" allowBlank="1" showInputMessage="1" showErrorMessage="1" prompt="Select" sqref="K5" xr:uid="{00000000-0002-0000-0000-000000000000}">
      <formula1>"Yes, No,N/A"</formula1>
    </dataValidation>
    <dataValidation type="list" allowBlank="1" showInputMessage="1" showErrorMessage="1" promptTitle="Fund" prompt="Please select fund from list, Operating Fund is the most common fund." sqref="N14:N26" xr:uid="{00000000-0002-0000-0000-000001000000}">
      <formula1>Fund</formula1>
    </dataValidation>
    <dataValidation type="list" allowBlank="1" showInputMessage="1" showErrorMessage="1" prompt="Please select Dimension from list" sqref="P14:P26" xr:uid="{00000000-0002-0000-0000-000002000000}">
      <formula1>Dimension</formula1>
    </dataValidation>
  </dataValidations>
  <pageMargins left="0.25" right="0.25" top="0.25" bottom="0.25" header="0.3" footer="0.2"/>
  <pageSetup scale="44" fitToHeight="0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Cost Centre" prompt="Please select Cost Centre from list." xr:uid="{75D334B3-D53A-489A-AEEB-B2146125C782}">
          <x14:formula1>
            <xm:f>'cost centre'!$A$2:$A$264</xm:f>
          </x14:formula1>
          <xm:sqref>M14:M26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6"/>
  <sheetViews>
    <sheetView workbookViewId="0">
      <selection activeCell="A2" sqref="A2:A16"/>
    </sheetView>
  </sheetViews>
  <sheetFormatPr defaultRowHeight="15" x14ac:dyDescent="0.25"/>
  <sheetData>
    <row r="1" spans="1:1" x14ac:dyDescent="0.25">
      <c r="A1" t="s">
        <v>61</v>
      </c>
    </row>
    <row r="2" spans="1:1" x14ac:dyDescent="0.25">
      <c r="A2" s="34" t="s">
        <v>62</v>
      </c>
    </row>
    <row r="3" spans="1:1" x14ac:dyDescent="0.25">
      <c r="A3" s="34" t="s">
        <v>63</v>
      </c>
    </row>
    <row r="4" spans="1:1" x14ac:dyDescent="0.25">
      <c r="A4" s="34" t="s">
        <v>64</v>
      </c>
    </row>
    <row r="5" spans="1:1" x14ac:dyDescent="0.25">
      <c r="A5" s="34" t="s">
        <v>65</v>
      </c>
    </row>
    <row r="6" spans="1:1" x14ac:dyDescent="0.25">
      <c r="A6" s="34" t="s">
        <v>66</v>
      </c>
    </row>
    <row r="7" spans="1:1" x14ac:dyDescent="0.25">
      <c r="A7" s="34" t="s">
        <v>67</v>
      </c>
    </row>
    <row r="8" spans="1:1" x14ac:dyDescent="0.25">
      <c r="A8" s="34" t="s">
        <v>68</v>
      </c>
    </row>
    <row r="9" spans="1:1" x14ac:dyDescent="0.25">
      <c r="A9" s="34" t="s">
        <v>69</v>
      </c>
    </row>
    <row r="10" spans="1:1" x14ac:dyDescent="0.25">
      <c r="A10" s="34" t="s">
        <v>70</v>
      </c>
    </row>
    <row r="11" spans="1:1" x14ac:dyDescent="0.25">
      <c r="A11" s="34" t="s">
        <v>71</v>
      </c>
    </row>
    <row r="12" spans="1:1" x14ac:dyDescent="0.25">
      <c r="A12" s="34" t="s">
        <v>72</v>
      </c>
    </row>
    <row r="13" spans="1:1" x14ac:dyDescent="0.25">
      <c r="A13" s="34" t="s">
        <v>73</v>
      </c>
    </row>
    <row r="14" spans="1:1" x14ac:dyDescent="0.25">
      <c r="A14" s="34" t="s">
        <v>74</v>
      </c>
    </row>
    <row r="15" spans="1:1" x14ac:dyDescent="0.25">
      <c r="A15" s="34" t="s">
        <v>75</v>
      </c>
    </row>
    <row r="16" spans="1:1" x14ac:dyDescent="0.25">
      <c r="A16" s="34" t="s">
        <v>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64"/>
  <sheetViews>
    <sheetView topLeftCell="A239" workbookViewId="0">
      <selection activeCell="L248" sqref="L248"/>
    </sheetView>
  </sheetViews>
  <sheetFormatPr defaultColWidth="8" defaultRowHeight="12.75" x14ac:dyDescent="0.2"/>
  <cols>
    <col min="1" max="1" width="25.42578125" style="114" customWidth="1"/>
    <col min="2" max="3" width="23.42578125" style="114" customWidth="1"/>
    <col min="4" max="6" width="8" style="8"/>
    <col min="7" max="7" width="10.140625" style="8" bestFit="1" customWidth="1"/>
    <col min="8" max="16384" width="8" style="8"/>
  </cols>
  <sheetData>
    <row r="1" spans="1:9" x14ac:dyDescent="0.2">
      <c r="A1" s="113" t="s">
        <v>77</v>
      </c>
      <c r="B1" s="113" t="s">
        <v>78</v>
      </c>
      <c r="C1" s="113" t="s">
        <v>79</v>
      </c>
      <c r="E1" s="8" t="s">
        <v>80</v>
      </c>
    </row>
    <row r="2" spans="1:9" ht="15" x14ac:dyDescent="0.2">
      <c r="A2" s="15" t="s">
        <v>81</v>
      </c>
      <c r="B2" s="15" t="s">
        <v>82</v>
      </c>
      <c r="C2" s="15" t="s">
        <v>83</v>
      </c>
      <c r="E2" s="8" t="s">
        <v>84</v>
      </c>
      <c r="G2" s="9">
        <v>42447</v>
      </c>
      <c r="H2" s="8" t="s">
        <v>85</v>
      </c>
    </row>
    <row r="3" spans="1:9" ht="15" x14ac:dyDescent="0.2">
      <c r="A3" s="15" t="s">
        <v>86</v>
      </c>
      <c r="B3" s="15" t="s">
        <v>82</v>
      </c>
      <c r="C3" s="15" t="s">
        <v>87</v>
      </c>
      <c r="E3" s="8" t="s">
        <v>84</v>
      </c>
      <c r="G3" s="9">
        <v>42620</v>
      </c>
      <c r="H3" s="8" t="s">
        <v>88</v>
      </c>
    </row>
    <row r="4" spans="1:9" ht="15" x14ac:dyDescent="0.2">
      <c r="A4" s="15" t="s">
        <v>89</v>
      </c>
      <c r="B4" s="15" t="s">
        <v>82</v>
      </c>
      <c r="C4" s="15" t="s">
        <v>90</v>
      </c>
      <c r="E4" s="8" t="s">
        <v>84</v>
      </c>
      <c r="G4" s="9">
        <v>43875</v>
      </c>
      <c r="H4" s="8" t="s">
        <v>91</v>
      </c>
    </row>
    <row r="5" spans="1:9" ht="15" x14ac:dyDescent="0.2">
      <c r="A5" s="15" t="s">
        <v>92</v>
      </c>
      <c r="B5" s="15" t="s">
        <v>82</v>
      </c>
      <c r="C5" s="15" t="s">
        <v>93</v>
      </c>
      <c r="E5" s="8" t="s">
        <v>84</v>
      </c>
      <c r="G5" s="9">
        <v>44182</v>
      </c>
      <c r="H5" s="8" t="s">
        <v>94</v>
      </c>
      <c r="I5" s="8">
        <v>243</v>
      </c>
    </row>
    <row r="6" spans="1:9" ht="15" x14ac:dyDescent="0.2">
      <c r="A6" s="15" t="s">
        <v>95</v>
      </c>
      <c r="B6" s="15" t="s">
        <v>82</v>
      </c>
      <c r="C6" s="15" t="s">
        <v>96</v>
      </c>
      <c r="E6" s="8" t="s">
        <v>84</v>
      </c>
      <c r="G6" s="9">
        <v>45329</v>
      </c>
      <c r="H6" s="8" t="s">
        <v>97</v>
      </c>
      <c r="I6" s="8">
        <v>263</v>
      </c>
    </row>
    <row r="7" spans="1:9" ht="15" x14ac:dyDescent="0.2">
      <c r="A7" s="15" t="s">
        <v>98</v>
      </c>
      <c r="B7" s="15" t="s">
        <v>82</v>
      </c>
      <c r="C7" s="15" t="s">
        <v>99</v>
      </c>
    </row>
    <row r="8" spans="1:9" ht="15" x14ac:dyDescent="0.2">
      <c r="A8" s="15" t="s">
        <v>100</v>
      </c>
      <c r="B8" s="15" t="s">
        <v>82</v>
      </c>
      <c r="C8" s="15" t="s">
        <v>101</v>
      </c>
    </row>
    <row r="9" spans="1:9" ht="15" x14ac:dyDescent="0.2">
      <c r="A9" s="15" t="s">
        <v>102</v>
      </c>
      <c r="B9" s="15" t="s">
        <v>82</v>
      </c>
      <c r="C9" s="15" t="s">
        <v>103</v>
      </c>
    </row>
    <row r="10" spans="1:9" ht="15" x14ac:dyDescent="0.2">
      <c r="A10" s="15" t="s">
        <v>104</v>
      </c>
      <c r="B10" s="15" t="s">
        <v>82</v>
      </c>
      <c r="C10" s="15" t="s">
        <v>105</v>
      </c>
    </row>
    <row r="11" spans="1:9" ht="15" x14ac:dyDescent="0.2">
      <c r="A11" s="15" t="s">
        <v>106</v>
      </c>
      <c r="B11" s="15" t="s">
        <v>82</v>
      </c>
      <c r="C11" s="15" t="s">
        <v>107</v>
      </c>
    </row>
    <row r="12" spans="1:9" ht="15" x14ac:dyDescent="0.2">
      <c r="A12" s="15" t="s">
        <v>108</v>
      </c>
      <c r="B12" s="15" t="s">
        <v>82</v>
      </c>
      <c r="C12" s="15" t="s">
        <v>109</v>
      </c>
    </row>
    <row r="13" spans="1:9" ht="15" x14ac:dyDescent="0.2">
      <c r="A13" s="15" t="s">
        <v>110</v>
      </c>
      <c r="B13" s="15" t="s">
        <v>82</v>
      </c>
      <c r="C13" s="15" t="s">
        <v>111</v>
      </c>
    </row>
    <row r="14" spans="1:9" ht="15" x14ac:dyDescent="0.2">
      <c r="A14" s="15" t="s">
        <v>112</v>
      </c>
      <c r="B14" s="15" t="s">
        <v>82</v>
      </c>
      <c r="C14" s="15" t="s">
        <v>113</v>
      </c>
    </row>
    <row r="15" spans="1:9" ht="15" x14ac:dyDescent="0.2">
      <c r="A15" s="15" t="s">
        <v>114</v>
      </c>
      <c r="B15" s="15" t="s">
        <v>82</v>
      </c>
      <c r="C15" s="15" t="s">
        <v>115</v>
      </c>
    </row>
    <row r="16" spans="1:9" ht="15" x14ac:dyDescent="0.2">
      <c r="A16" s="15" t="s">
        <v>116</v>
      </c>
      <c r="B16" s="15" t="s">
        <v>82</v>
      </c>
      <c r="C16" s="15" t="s">
        <v>117</v>
      </c>
    </row>
    <row r="17" spans="1:3" ht="15" x14ac:dyDescent="0.2">
      <c r="A17" s="15" t="s">
        <v>118</v>
      </c>
      <c r="B17" s="15" t="s">
        <v>82</v>
      </c>
      <c r="C17" s="15" t="s">
        <v>119</v>
      </c>
    </row>
    <row r="18" spans="1:3" ht="15" x14ac:dyDescent="0.2">
      <c r="A18" s="15" t="s">
        <v>120</v>
      </c>
      <c r="B18" s="15" t="s">
        <v>82</v>
      </c>
      <c r="C18" s="15" t="s">
        <v>121</v>
      </c>
    </row>
    <row r="19" spans="1:3" ht="15" x14ac:dyDescent="0.2">
      <c r="A19" s="15" t="s">
        <v>122</v>
      </c>
      <c r="B19" s="15" t="s">
        <v>82</v>
      </c>
      <c r="C19" s="15" t="s">
        <v>123</v>
      </c>
    </row>
    <row r="20" spans="1:3" ht="15" x14ac:dyDescent="0.2">
      <c r="A20" s="15" t="s">
        <v>124</v>
      </c>
      <c r="B20" s="15" t="s">
        <v>82</v>
      </c>
      <c r="C20" s="15" t="s">
        <v>125</v>
      </c>
    </row>
    <row r="21" spans="1:3" ht="15" x14ac:dyDescent="0.2">
      <c r="A21" s="15" t="s">
        <v>126</v>
      </c>
      <c r="B21" s="15" t="s">
        <v>82</v>
      </c>
      <c r="C21" s="15" t="s">
        <v>127</v>
      </c>
    </row>
    <row r="22" spans="1:3" ht="15" x14ac:dyDescent="0.2">
      <c r="A22" s="15" t="s">
        <v>128</v>
      </c>
      <c r="B22" s="15" t="s">
        <v>82</v>
      </c>
      <c r="C22" s="15" t="s">
        <v>129</v>
      </c>
    </row>
    <row r="23" spans="1:3" ht="15" x14ac:dyDescent="0.2">
      <c r="A23" s="15" t="s">
        <v>130</v>
      </c>
      <c r="B23" s="15" t="s">
        <v>82</v>
      </c>
      <c r="C23" s="15" t="s">
        <v>131</v>
      </c>
    </row>
    <row r="24" spans="1:3" ht="15" x14ac:dyDescent="0.2">
      <c r="A24" s="15" t="s">
        <v>132</v>
      </c>
      <c r="B24" s="15" t="s">
        <v>82</v>
      </c>
      <c r="C24" s="15" t="s">
        <v>133</v>
      </c>
    </row>
    <row r="25" spans="1:3" ht="15" x14ac:dyDescent="0.2">
      <c r="A25" s="15" t="s">
        <v>134</v>
      </c>
      <c r="B25" s="15" t="s">
        <v>82</v>
      </c>
      <c r="C25" s="15" t="s">
        <v>135</v>
      </c>
    </row>
    <row r="26" spans="1:3" ht="15" x14ac:dyDescent="0.2">
      <c r="A26" s="15" t="s">
        <v>136</v>
      </c>
      <c r="B26" s="15" t="s">
        <v>82</v>
      </c>
      <c r="C26" s="15" t="s">
        <v>137</v>
      </c>
    </row>
    <row r="27" spans="1:3" ht="15" x14ac:dyDescent="0.2">
      <c r="A27" s="15" t="s">
        <v>138</v>
      </c>
      <c r="B27" s="15" t="s">
        <v>82</v>
      </c>
      <c r="C27" s="15" t="s">
        <v>139</v>
      </c>
    </row>
    <row r="28" spans="1:3" ht="15" x14ac:dyDescent="0.2">
      <c r="A28" s="15" t="s">
        <v>140</v>
      </c>
      <c r="B28" s="15" t="s">
        <v>82</v>
      </c>
      <c r="C28" s="15" t="s">
        <v>141</v>
      </c>
    </row>
    <row r="29" spans="1:3" ht="15" x14ac:dyDescent="0.2">
      <c r="A29" s="15" t="s">
        <v>142</v>
      </c>
      <c r="B29" s="15" t="s">
        <v>82</v>
      </c>
      <c r="C29" s="15" t="s">
        <v>143</v>
      </c>
    </row>
    <row r="30" spans="1:3" ht="15" x14ac:dyDescent="0.2">
      <c r="A30" s="15" t="s">
        <v>144</v>
      </c>
      <c r="B30" s="15" t="s">
        <v>82</v>
      </c>
      <c r="C30" s="15" t="s">
        <v>145</v>
      </c>
    </row>
    <row r="31" spans="1:3" ht="15" x14ac:dyDescent="0.2">
      <c r="A31" s="15" t="s">
        <v>146</v>
      </c>
      <c r="B31" s="15" t="s">
        <v>82</v>
      </c>
      <c r="C31" s="15" t="s">
        <v>147</v>
      </c>
    </row>
    <row r="32" spans="1:3" ht="15" x14ac:dyDescent="0.2">
      <c r="A32" s="15" t="s">
        <v>148</v>
      </c>
      <c r="B32" s="15" t="s">
        <v>82</v>
      </c>
      <c r="C32" s="15" t="s">
        <v>149</v>
      </c>
    </row>
    <row r="33" spans="1:3" ht="15" x14ac:dyDescent="0.2">
      <c r="A33" s="15" t="s">
        <v>150</v>
      </c>
      <c r="B33" s="15" t="s">
        <v>82</v>
      </c>
      <c r="C33" s="15" t="s">
        <v>151</v>
      </c>
    </row>
    <row r="34" spans="1:3" ht="15" x14ac:dyDescent="0.2">
      <c r="A34" s="15" t="s">
        <v>152</v>
      </c>
      <c r="B34" s="15" t="s">
        <v>82</v>
      </c>
      <c r="C34" s="15" t="s">
        <v>153</v>
      </c>
    </row>
    <row r="35" spans="1:3" ht="15" x14ac:dyDescent="0.2">
      <c r="A35" s="15" t="s">
        <v>154</v>
      </c>
      <c r="B35" s="15" t="s">
        <v>82</v>
      </c>
      <c r="C35" s="15" t="s">
        <v>155</v>
      </c>
    </row>
    <row r="36" spans="1:3" ht="15" x14ac:dyDescent="0.2">
      <c r="A36" s="15" t="s">
        <v>156</v>
      </c>
      <c r="B36" s="15" t="s">
        <v>82</v>
      </c>
      <c r="C36" s="15" t="s">
        <v>157</v>
      </c>
    </row>
    <row r="37" spans="1:3" ht="15" x14ac:dyDescent="0.2">
      <c r="A37" s="15" t="s">
        <v>158</v>
      </c>
      <c r="B37" s="15" t="s">
        <v>82</v>
      </c>
      <c r="C37" s="15" t="s">
        <v>159</v>
      </c>
    </row>
    <row r="38" spans="1:3" ht="15" x14ac:dyDescent="0.2">
      <c r="A38" s="15" t="s">
        <v>160</v>
      </c>
      <c r="B38" s="15" t="s">
        <v>82</v>
      </c>
      <c r="C38" s="15" t="s">
        <v>161</v>
      </c>
    </row>
    <row r="39" spans="1:3" ht="15" x14ac:dyDescent="0.2">
      <c r="A39" s="15" t="s">
        <v>162</v>
      </c>
      <c r="B39" s="15" t="s">
        <v>82</v>
      </c>
      <c r="C39" s="15" t="s">
        <v>163</v>
      </c>
    </row>
    <row r="40" spans="1:3" ht="15" x14ac:dyDescent="0.2">
      <c r="A40" s="15" t="s">
        <v>164</v>
      </c>
      <c r="B40" s="15" t="s">
        <v>82</v>
      </c>
      <c r="C40" s="15" t="s">
        <v>165</v>
      </c>
    </row>
    <row r="41" spans="1:3" ht="15" x14ac:dyDescent="0.2">
      <c r="A41" s="15" t="s">
        <v>166</v>
      </c>
      <c r="B41" s="15" t="s">
        <v>82</v>
      </c>
      <c r="C41" s="15" t="s">
        <v>167</v>
      </c>
    </row>
    <row r="42" spans="1:3" ht="15" x14ac:dyDescent="0.2">
      <c r="A42" s="15" t="s">
        <v>168</v>
      </c>
      <c r="B42" s="15" t="s">
        <v>82</v>
      </c>
      <c r="C42" s="15" t="s">
        <v>169</v>
      </c>
    </row>
    <row r="43" spans="1:3" ht="15" x14ac:dyDescent="0.2">
      <c r="A43" s="15" t="s">
        <v>170</v>
      </c>
      <c r="B43" s="15" t="s">
        <v>82</v>
      </c>
      <c r="C43" s="15" t="s">
        <v>171</v>
      </c>
    </row>
    <row r="44" spans="1:3" ht="15" x14ac:dyDescent="0.2">
      <c r="A44" s="15" t="s">
        <v>172</v>
      </c>
      <c r="B44" s="15" t="s">
        <v>82</v>
      </c>
      <c r="C44" s="15" t="s">
        <v>173</v>
      </c>
    </row>
    <row r="45" spans="1:3" ht="15" x14ac:dyDescent="0.2">
      <c r="A45" s="15" t="s">
        <v>174</v>
      </c>
      <c r="B45" s="15" t="s">
        <v>82</v>
      </c>
      <c r="C45" s="15" t="s">
        <v>175</v>
      </c>
    </row>
    <row r="46" spans="1:3" ht="15" x14ac:dyDescent="0.2">
      <c r="A46" s="15" t="s">
        <v>176</v>
      </c>
      <c r="B46" s="15" t="s">
        <v>82</v>
      </c>
      <c r="C46" s="15" t="s">
        <v>177</v>
      </c>
    </row>
    <row r="47" spans="1:3" ht="15" x14ac:dyDescent="0.2">
      <c r="A47" s="15" t="s">
        <v>178</v>
      </c>
      <c r="B47" s="15" t="s">
        <v>82</v>
      </c>
      <c r="C47" s="15" t="s">
        <v>179</v>
      </c>
    </row>
    <row r="48" spans="1:3" ht="15" x14ac:dyDescent="0.2">
      <c r="A48" s="15" t="s">
        <v>180</v>
      </c>
      <c r="B48" s="15" t="s">
        <v>82</v>
      </c>
      <c r="C48" s="15" t="s">
        <v>181</v>
      </c>
    </row>
    <row r="49" spans="1:3" ht="15" x14ac:dyDescent="0.2">
      <c r="A49" s="15" t="s">
        <v>182</v>
      </c>
      <c r="B49" s="15" t="s">
        <v>82</v>
      </c>
      <c r="C49" s="15" t="s">
        <v>183</v>
      </c>
    </row>
    <row r="50" spans="1:3" ht="15" x14ac:dyDescent="0.2">
      <c r="A50" s="15" t="s">
        <v>184</v>
      </c>
      <c r="B50" s="15" t="s">
        <v>82</v>
      </c>
      <c r="C50" s="15" t="s">
        <v>185</v>
      </c>
    </row>
    <row r="51" spans="1:3" ht="15" x14ac:dyDescent="0.2">
      <c r="A51" s="15" t="s">
        <v>186</v>
      </c>
      <c r="B51" s="15" t="s">
        <v>82</v>
      </c>
      <c r="C51" s="15" t="s">
        <v>187</v>
      </c>
    </row>
    <row r="52" spans="1:3" ht="15" x14ac:dyDescent="0.2">
      <c r="A52" s="15" t="s">
        <v>188</v>
      </c>
      <c r="B52" s="15" t="s">
        <v>82</v>
      </c>
      <c r="C52" s="15" t="s">
        <v>189</v>
      </c>
    </row>
    <row r="53" spans="1:3" ht="15" x14ac:dyDescent="0.2">
      <c r="A53" s="15" t="s">
        <v>190</v>
      </c>
      <c r="B53" s="15" t="s">
        <v>82</v>
      </c>
      <c r="C53" s="15" t="s">
        <v>191</v>
      </c>
    </row>
    <row r="54" spans="1:3" ht="15" x14ac:dyDescent="0.2">
      <c r="A54" s="15" t="s">
        <v>192</v>
      </c>
      <c r="B54" s="15" t="s">
        <v>82</v>
      </c>
      <c r="C54" s="15" t="s">
        <v>193</v>
      </c>
    </row>
    <row r="55" spans="1:3" ht="15" x14ac:dyDescent="0.2">
      <c r="A55" s="15" t="s">
        <v>194</v>
      </c>
      <c r="B55" s="15" t="s">
        <v>82</v>
      </c>
      <c r="C55" s="15" t="s">
        <v>195</v>
      </c>
    </row>
    <row r="56" spans="1:3" ht="15" x14ac:dyDescent="0.2">
      <c r="A56" s="15" t="s">
        <v>196</v>
      </c>
      <c r="B56" s="15" t="s">
        <v>82</v>
      </c>
      <c r="C56" s="15" t="s">
        <v>197</v>
      </c>
    </row>
    <row r="57" spans="1:3" ht="15" x14ac:dyDescent="0.2">
      <c r="A57" s="15" t="s">
        <v>198</v>
      </c>
      <c r="B57" s="15" t="s">
        <v>82</v>
      </c>
      <c r="C57" s="15" t="s">
        <v>199</v>
      </c>
    </row>
    <row r="58" spans="1:3" ht="15" x14ac:dyDescent="0.2">
      <c r="A58" s="15" t="s">
        <v>200</v>
      </c>
      <c r="B58" s="15" t="s">
        <v>82</v>
      </c>
      <c r="C58" s="15" t="s">
        <v>201</v>
      </c>
    </row>
    <row r="59" spans="1:3" ht="15" x14ac:dyDescent="0.2">
      <c r="A59" s="15" t="s">
        <v>202</v>
      </c>
      <c r="B59" s="15" t="s">
        <v>82</v>
      </c>
      <c r="C59" s="15" t="s">
        <v>203</v>
      </c>
    </row>
    <row r="60" spans="1:3" ht="15" x14ac:dyDescent="0.2">
      <c r="A60" s="15" t="s">
        <v>204</v>
      </c>
      <c r="B60" s="15" t="s">
        <v>82</v>
      </c>
      <c r="C60" s="15" t="s">
        <v>205</v>
      </c>
    </row>
    <row r="61" spans="1:3" ht="15" x14ac:dyDescent="0.2">
      <c r="A61" s="15" t="s">
        <v>206</v>
      </c>
      <c r="B61" s="15" t="s">
        <v>82</v>
      </c>
      <c r="C61" s="15" t="s">
        <v>207</v>
      </c>
    </row>
    <row r="62" spans="1:3" ht="15" x14ac:dyDescent="0.2">
      <c r="A62" s="15" t="s">
        <v>208</v>
      </c>
      <c r="B62" s="15" t="s">
        <v>82</v>
      </c>
      <c r="C62" s="15" t="s">
        <v>209</v>
      </c>
    </row>
    <row r="63" spans="1:3" ht="15" x14ac:dyDescent="0.2">
      <c r="A63" s="15" t="s">
        <v>210</v>
      </c>
      <c r="B63" s="15" t="s">
        <v>82</v>
      </c>
      <c r="C63" s="15" t="s">
        <v>211</v>
      </c>
    </row>
    <row r="64" spans="1:3" ht="15" x14ac:dyDescent="0.2">
      <c r="A64" s="15" t="s">
        <v>212</v>
      </c>
      <c r="B64" s="15" t="s">
        <v>82</v>
      </c>
      <c r="C64" s="15" t="s">
        <v>213</v>
      </c>
    </row>
    <row r="65" spans="1:3" ht="15" x14ac:dyDescent="0.2">
      <c r="A65" s="15" t="s">
        <v>214</v>
      </c>
      <c r="B65" s="15" t="s">
        <v>82</v>
      </c>
      <c r="C65" s="15" t="s">
        <v>215</v>
      </c>
    </row>
    <row r="66" spans="1:3" ht="15" x14ac:dyDescent="0.2">
      <c r="A66" s="15" t="s">
        <v>216</v>
      </c>
      <c r="B66" s="15" t="s">
        <v>82</v>
      </c>
      <c r="C66" s="15" t="s">
        <v>217</v>
      </c>
    </row>
    <row r="67" spans="1:3" ht="15" x14ac:dyDescent="0.2">
      <c r="A67" s="15" t="s">
        <v>218</v>
      </c>
      <c r="B67" s="15" t="s">
        <v>82</v>
      </c>
      <c r="C67" s="15" t="s">
        <v>219</v>
      </c>
    </row>
    <row r="68" spans="1:3" ht="15" x14ac:dyDescent="0.2">
      <c r="A68" s="15" t="s">
        <v>220</v>
      </c>
      <c r="B68" s="15" t="s">
        <v>82</v>
      </c>
      <c r="C68" s="15" t="s">
        <v>221</v>
      </c>
    </row>
    <row r="69" spans="1:3" ht="15" x14ac:dyDescent="0.2">
      <c r="A69" s="15" t="s">
        <v>222</v>
      </c>
      <c r="B69" s="15" t="s">
        <v>82</v>
      </c>
      <c r="C69" s="15" t="s">
        <v>223</v>
      </c>
    </row>
    <row r="70" spans="1:3" ht="15" x14ac:dyDescent="0.2">
      <c r="A70" s="15" t="s">
        <v>224</v>
      </c>
      <c r="B70" s="15" t="s">
        <v>82</v>
      </c>
      <c r="C70" s="15" t="s">
        <v>225</v>
      </c>
    </row>
    <row r="71" spans="1:3" ht="15" x14ac:dyDescent="0.2">
      <c r="A71" s="15" t="s">
        <v>226</v>
      </c>
      <c r="B71" s="15" t="s">
        <v>82</v>
      </c>
      <c r="C71" s="15" t="s">
        <v>227</v>
      </c>
    </row>
    <row r="72" spans="1:3" ht="15" x14ac:dyDescent="0.2">
      <c r="A72" s="15" t="s">
        <v>228</v>
      </c>
      <c r="B72" s="15" t="s">
        <v>82</v>
      </c>
      <c r="C72" s="15" t="s">
        <v>229</v>
      </c>
    </row>
    <row r="73" spans="1:3" ht="15" x14ac:dyDescent="0.2">
      <c r="A73" s="15" t="s">
        <v>230</v>
      </c>
      <c r="B73" s="15" t="s">
        <v>82</v>
      </c>
      <c r="C73" s="15" t="s">
        <v>231</v>
      </c>
    </row>
    <row r="74" spans="1:3" ht="15" x14ac:dyDescent="0.2">
      <c r="A74" s="15" t="s">
        <v>232</v>
      </c>
      <c r="B74" s="15" t="s">
        <v>82</v>
      </c>
      <c r="C74" s="15" t="s">
        <v>233</v>
      </c>
    </row>
    <row r="75" spans="1:3" ht="15" x14ac:dyDescent="0.2">
      <c r="A75" s="15" t="s">
        <v>234</v>
      </c>
      <c r="B75" s="15" t="s">
        <v>82</v>
      </c>
      <c r="C75" s="15" t="s">
        <v>235</v>
      </c>
    </row>
    <row r="76" spans="1:3" ht="15" x14ac:dyDescent="0.2">
      <c r="A76" s="15" t="s">
        <v>236</v>
      </c>
      <c r="B76" s="15" t="s">
        <v>82</v>
      </c>
      <c r="C76" s="15" t="s">
        <v>237</v>
      </c>
    </row>
    <row r="77" spans="1:3" ht="15" x14ac:dyDescent="0.2">
      <c r="A77" s="15" t="s">
        <v>238</v>
      </c>
      <c r="B77" s="15" t="s">
        <v>82</v>
      </c>
      <c r="C77" s="15" t="s">
        <v>239</v>
      </c>
    </row>
    <row r="78" spans="1:3" ht="15" x14ac:dyDescent="0.2">
      <c r="A78" s="15" t="s">
        <v>240</v>
      </c>
      <c r="B78" s="15" t="s">
        <v>82</v>
      </c>
      <c r="C78" s="15" t="s">
        <v>241</v>
      </c>
    </row>
    <row r="79" spans="1:3" ht="15" x14ac:dyDescent="0.2">
      <c r="A79" s="15" t="s">
        <v>242</v>
      </c>
      <c r="B79" s="15" t="s">
        <v>82</v>
      </c>
      <c r="C79" s="15" t="s">
        <v>243</v>
      </c>
    </row>
    <row r="80" spans="1:3" ht="15" x14ac:dyDescent="0.2">
      <c r="A80" s="15" t="s">
        <v>244</v>
      </c>
      <c r="B80" s="15" t="s">
        <v>82</v>
      </c>
      <c r="C80" s="15" t="s">
        <v>245</v>
      </c>
    </row>
    <row r="81" spans="1:3" ht="15" x14ac:dyDescent="0.2">
      <c r="A81" s="15" t="s">
        <v>246</v>
      </c>
      <c r="B81" s="15" t="s">
        <v>82</v>
      </c>
      <c r="C81" s="15" t="s">
        <v>247</v>
      </c>
    </row>
    <row r="82" spans="1:3" ht="15" x14ac:dyDescent="0.2">
      <c r="A82" s="15" t="s">
        <v>248</v>
      </c>
      <c r="B82" s="15" t="s">
        <v>82</v>
      </c>
      <c r="C82" s="15" t="s">
        <v>249</v>
      </c>
    </row>
    <row r="83" spans="1:3" ht="15" x14ac:dyDescent="0.2">
      <c r="A83" s="15" t="s">
        <v>250</v>
      </c>
      <c r="B83" s="15" t="s">
        <v>82</v>
      </c>
      <c r="C83" s="15" t="s">
        <v>251</v>
      </c>
    </row>
    <row r="84" spans="1:3" ht="15" x14ac:dyDescent="0.2">
      <c r="A84" s="15" t="s">
        <v>252</v>
      </c>
      <c r="B84" s="15" t="s">
        <v>82</v>
      </c>
      <c r="C84" s="15" t="s">
        <v>253</v>
      </c>
    </row>
    <row r="85" spans="1:3" ht="15" x14ac:dyDescent="0.2">
      <c r="A85" s="15" t="s">
        <v>254</v>
      </c>
      <c r="B85" s="15" t="s">
        <v>82</v>
      </c>
      <c r="C85" s="15" t="s">
        <v>255</v>
      </c>
    </row>
    <row r="86" spans="1:3" ht="15" x14ac:dyDescent="0.2">
      <c r="A86" s="15" t="s">
        <v>256</v>
      </c>
      <c r="B86" s="15" t="s">
        <v>82</v>
      </c>
      <c r="C86" s="15" t="s">
        <v>257</v>
      </c>
    </row>
    <row r="87" spans="1:3" ht="15" x14ac:dyDescent="0.2">
      <c r="A87" s="15" t="s">
        <v>258</v>
      </c>
      <c r="B87" s="15" t="s">
        <v>82</v>
      </c>
      <c r="C87" s="15" t="s">
        <v>259</v>
      </c>
    </row>
    <row r="88" spans="1:3" ht="15" x14ac:dyDescent="0.2">
      <c r="A88" s="15" t="s">
        <v>260</v>
      </c>
      <c r="B88" s="15" t="s">
        <v>82</v>
      </c>
      <c r="C88" s="15" t="s">
        <v>261</v>
      </c>
    </row>
    <row r="89" spans="1:3" ht="15" x14ac:dyDescent="0.2">
      <c r="A89" s="15" t="s">
        <v>262</v>
      </c>
      <c r="B89" s="15" t="s">
        <v>82</v>
      </c>
      <c r="C89" s="15" t="s">
        <v>263</v>
      </c>
    </row>
    <row r="90" spans="1:3" ht="15" x14ac:dyDescent="0.2">
      <c r="A90" s="15" t="s">
        <v>264</v>
      </c>
      <c r="B90" s="15" t="s">
        <v>82</v>
      </c>
      <c r="C90" s="15" t="s">
        <v>265</v>
      </c>
    </row>
    <row r="91" spans="1:3" ht="15" x14ac:dyDescent="0.2">
      <c r="A91" s="15" t="s">
        <v>266</v>
      </c>
      <c r="B91" s="15" t="s">
        <v>82</v>
      </c>
      <c r="C91" s="15" t="s">
        <v>267</v>
      </c>
    </row>
    <row r="92" spans="1:3" ht="15" x14ac:dyDescent="0.2">
      <c r="A92" s="15" t="s">
        <v>268</v>
      </c>
      <c r="B92" s="15" t="s">
        <v>82</v>
      </c>
      <c r="C92" s="15" t="s">
        <v>269</v>
      </c>
    </row>
    <row r="93" spans="1:3" ht="15" x14ac:dyDescent="0.2">
      <c r="A93" s="15" t="s">
        <v>270</v>
      </c>
      <c r="B93" s="15" t="s">
        <v>82</v>
      </c>
      <c r="C93" s="15" t="s">
        <v>271</v>
      </c>
    </row>
    <row r="94" spans="1:3" ht="15" x14ac:dyDescent="0.2">
      <c r="A94" s="15" t="s">
        <v>272</v>
      </c>
      <c r="B94" s="15" t="s">
        <v>82</v>
      </c>
      <c r="C94" s="15" t="s">
        <v>273</v>
      </c>
    </row>
    <row r="95" spans="1:3" ht="15" x14ac:dyDescent="0.2">
      <c r="A95" s="15" t="s">
        <v>274</v>
      </c>
      <c r="B95" s="15" t="s">
        <v>82</v>
      </c>
      <c r="C95" s="15" t="s">
        <v>275</v>
      </c>
    </row>
    <row r="96" spans="1:3" ht="15" x14ac:dyDescent="0.2">
      <c r="A96" s="15" t="s">
        <v>276</v>
      </c>
      <c r="B96" s="15" t="s">
        <v>82</v>
      </c>
      <c r="C96" s="15" t="s">
        <v>277</v>
      </c>
    </row>
    <row r="97" spans="1:3" ht="15" x14ac:dyDescent="0.2">
      <c r="A97" s="15" t="s">
        <v>278</v>
      </c>
      <c r="B97" s="15" t="s">
        <v>82</v>
      </c>
      <c r="C97" s="15" t="s">
        <v>279</v>
      </c>
    </row>
    <row r="98" spans="1:3" ht="15" x14ac:dyDescent="0.2">
      <c r="A98" s="15" t="s">
        <v>280</v>
      </c>
      <c r="B98" s="15" t="s">
        <v>82</v>
      </c>
      <c r="C98" s="15" t="s">
        <v>281</v>
      </c>
    </row>
    <row r="99" spans="1:3" ht="15" x14ac:dyDescent="0.2">
      <c r="A99" s="15" t="s">
        <v>282</v>
      </c>
      <c r="B99" s="15" t="s">
        <v>82</v>
      </c>
      <c r="C99" s="15" t="s">
        <v>283</v>
      </c>
    </row>
    <row r="100" spans="1:3" ht="15" x14ac:dyDescent="0.2">
      <c r="A100" s="15" t="s">
        <v>284</v>
      </c>
      <c r="B100" s="15" t="s">
        <v>82</v>
      </c>
      <c r="C100" s="15" t="s">
        <v>285</v>
      </c>
    </row>
    <row r="101" spans="1:3" ht="15" x14ac:dyDescent="0.2">
      <c r="A101" s="15" t="s">
        <v>286</v>
      </c>
      <c r="B101" s="15" t="s">
        <v>82</v>
      </c>
      <c r="C101" s="15" t="s">
        <v>287</v>
      </c>
    </row>
    <row r="102" spans="1:3" ht="15" x14ac:dyDescent="0.2">
      <c r="A102" s="15" t="s">
        <v>288</v>
      </c>
      <c r="B102" s="15" t="s">
        <v>82</v>
      </c>
      <c r="C102" s="15" t="s">
        <v>289</v>
      </c>
    </row>
    <row r="103" spans="1:3" ht="15" x14ac:dyDescent="0.2">
      <c r="A103" s="15" t="s">
        <v>290</v>
      </c>
      <c r="B103" s="15" t="s">
        <v>82</v>
      </c>
      <c r="C103" s="15" t="s">
        <v>291</v>
      </c>
    </row>
    <row r="104" spans="1:3" ht="15" x14ac:dyDescent="0.2">
      <c r="A104" s="15" t="s">
        <v>292</v>
      </c>
      <c r="B104" s="15" t="s">
        <v>82</v>
      </c>
      <c r="C104" s="15" t="s">
        <v>293</v>
      </c>
    </row>
    <row r="105" spans="1:3" ht="15" x14ac:dyDescent="0.2">
      <c r="A105" s="15" t="s">
        <v>294</v>
      </c>
      <c r="B105" s="15" t="s">
        <v>82</v>
      </c>
      <c r="C105" s="15" t="s">
        <v>295</v>
      </c>
    </row>
    <row r="106" spans="1:3" ht="15" x14ac:dyDescent="0.2">
      <c r="A106" s="15" t="s">
        <v>296</v>
      </c>
      <c r="B106" s="15" t="s">
        <v>82</v>
      </c>
      <c r="C106" s="15" t="s">
        <v>297</v>
      </c>
    </row>
    <row r="107" spans="1:3" ht="15" x14ac:dyDescent="0.2">
      <c r="A107" s="15" t="s">
        <v>298</v>
      </c>
      <c r="B107" s="15" t="s">
        <v>82</v>
      </c>
      <c r="C107" s="15" t="s">
        <v>299</v>
      </c>
    </row>
    <row r="108" spans="1:3" ht="15" x14ac:dyDescent="0.2">
      <c r="A108" s="15" t="s">
        <v>300</v>
      </c>
      <c r="B108" s="15" t="s">
        <v>82</v>
      </c>
      <c r="C108" s="15" t="s">
        <v>301</v>
      </c>
    </row>
    <row r="109" spans="1:3" ht="15" x14ac:dyDescent="0.2">
      <c r="A109" s="15" t="s">
        <v>302</v>
      </c>
      <c r="B109" s="15" t="s">
        <v>82</v>
      </c>
      <c r="C109" s="15" t="s">
        <v>303</v>
      </c>
    </row>
    <row r="110" spans="1:3" ht="15" x14ac:dyDescent="0.2">
      <c r="A110" s="15" t="s">
        <v>304</v>
      </c>
      <c r="B110" s="15" t="s">
        <v>82</v>
      </c>
      <c r="C110" s="15" t="s">
        <v>305</v>
      </c>
    </row>
    <row r="111" spans="1:3" ht="15" x14ac:dyDescent="0.2">
      <c r="A111" s="15" t="s">
        <v>306</v>
      </c>
      <c r="B111" s="15" t="s">
        <v>82</v>
      </c>
      <c r="C111" s="15" t="s">
        <v>307</v>
      </c>
    </row>
    <row r="112" spans="1:3" ht="15" x14ac:dyDescent="0.2">
      <c r="A112" s="15" t="s">
        <v>308</v>
      </c>
      <c r="B112" s="15" t="s">
        <v>82</v>
      </c>
      <c r="C112" s="15" t="s">
        <v>309</v>
      </c>
    </row>
    <row r="113" spans="1:3" ht="15" x14ac:dyDescent="0.2">
      <c r="A113" s="15" t="s">
        <v>310</v>
      </c>
      <c r="B113" s="15" t="s">
        <v>82</v>
      </c>
      <c r="C113" s="15" t="s">
        <v>311</v>
      </c>
    </row>
    <row r="114" spans="1:3" ht="15" x14ac:dyDescent="0.2">
      <c r="A114" s="15" t="s">
        <v>312</v>
      </c>
      <c r="B114" s="15" t="s">
        <v>82</v>
      </c>
      <c r="C114" s="15" t="s">
        <v>313</v>
      </c>
    </row>
    <row r="115" spans="1:3" ht="15" x14ac:dyDescent="0.2">
      <c r="A115" s="15" t="s">
        <v>314</v>
      </c>
      <c r="B115" s="15" t="s">
        <v>82</v>
      </c>
      <c r="C115" s="15" t="s">
        <v>315</v>
      </c>
    </row>
    <row r="116" spans="1:3" ht="15" x14ac:dyDescent="0.2">
      <c r="A116" s="15" t="s">
        <v>316</v>
      </c>
      <c r="B116" s="15" t="s">
        <v>82</v>
      </c>
      <c r="C116" s="15" t="s">
        <v>317</v>
      </c>
    </row>
    <row r="117" spans="1:3" ht="15" x14ac:dyDescent="0.2">
      <c r="A117" s="15" t="s">
        <v>318</v>
      </c>
      <c r="B117" s="15" t="s">
        <v>82</v>
      </c>
      <c r="C117" s="15" t="s">
        <v>319</v>
      </c>
    </row>
    <row r="118" spans="1:3" ht="15" x14ac:dyDescent="0.2">
      <c r="A118" s="15" t="s">
        <v>320</v>
      </c>
      <c r="B118" s="15" t="s">
        <v>82</v>
      </c>
      <c r="C118" s="15" t="s">
        <v>321</v>
      </c>
    </row>
    <row r="119" spans="1:3" ht="15" x14ac:dyDescent="0.2">
      <c r="A119" s="15" t="s">
        <v>322</v>
      </c>
      <c r="B119" s="15" t="s">
        <v>82</v>
      </c>
      <c r="C119" s="15" t="s">
        <v>323</v>
      </c>
    </row>
    <row r="120" spans="1:3" ht="15" x14ac:dyDescent="0.2">
      <c r="A120" s="15" t="s">
        <v>324</v>
      </c>
      <c r="B120" s="15" t="s">
        <v>82</v>
      </c>
      <c r="C120" s="15" t="s">
        <v>325</v>
      </c>
    </row>
    <row r="121" spans="1:3" ht="15" x14ac:dyDescent="0.2">
      <c r="A121" s="15" t="s">
        <v>326</v>
      </c>
      <c r="B121" s="15" t="s">
        <v>82</v>
      </c>
      <c r="C121" s="15" t="s">
        <v>327</v>
      </c>
    </row>
    <row r="122" spans="1:3" ht="15" x14ac:dyDescent="0.2">
      <c r="A122" s="15" t="s">
        <v>328</v>
      </c>
      <c r="B122" s="15" t="s">
        <v>82</v>
      </c>
      <c r="C122" s="15" t="s">
        <v>329</v>
      </c>
    </row>
    <row r="123" spans="1:3" ht="15" x14ac:dyDescent="0.2">
      <c r="A123" s="15" t="s">
        <v>330</v>
      </c>
      <c r="B123" s="15" t="s">
        <v>82</v>
      </c>
      <c r="C123" s="15" t="s">
        <v>331</v>
      </c>
    </row>
    <row r="124" spans="1:3" ht="15" x14ac:dyDescent="0.2">
      <c r="A124" s="15" t="s">
        <v>332</v>
      </c>
      <c r="B124" s="15" t="s">
        <v>82</v>
      </c>
      <c r="C124" s="15" t="s">
        <v>333</v>
      </c>
    </row>
    <row r="125" spans="1:3" ht="15" x14ac:dyDescent="0.2">
      <c r="A125" s="15" t="s">
        <v>334</v>
      </c>
      <c r="B125" s="15" t="s">
        <v>82</v>
      </c>
      <c r="C125" s="15" t="s">
        <v>335</v>
      </c>
    </row>
    <row r="126" spans="1:3" ht="15" x14ac:dyDescent="0.2">
      <c r="A126" s="15" t="s">
        <v>336</v>
      </c>
      <c r="B126" s="15" t="s">
        <v>82</v>
      </c>
      <c r="C126" s="15" t="s">
        <v>337</v>
      </c>
    </row>
    <row r="127" spans="1:3" ht="15" x14ac:dyDescent="0.2">
      <c r="A127" s="15" t="s">
        <v>338</v>
      </c>
      <c r="B127" s="15" t="s">
        <v>82</v>
      </c>
      <c r="C127" s="15" t="s">
        <v>339</v>
      </c>
    </row>
    <row r="128" spans="1:3" ht="15" x14ac:dyDescent="0.2">
      <c r="A128" s="15" t="s">
        <v>340</v>
      </c>
      <c r="B128" s="15" t="s">
        <v>82</v>
      </c>
      <c r="C128" s="15" t="s">
        <v>341</v>
      </c>
    </row>
    <row r="129" spans="1:3" ht="15" x14ac:dyDescent="0.2">
      <c r="A129" s="15" t="s">
        <v>342</v>
      </c>
      <c r="B129" s="15" t="s">
        <v>82</v>
      </c>
      <c r="C129" s="15" t="s">
        <v>343</v>
      </c>
    </row>
    <row r="130" spans="1:3" ht="15" x14ac:dyDescent="0.2">
      <c r="A130" s="15" t="s">
        <v>344</v>
      </c>
      <c r="B130" s="15" t="s">
        <v>82</v>
      </c>
      <c r="C130" s="15" t="s">
        <v>345</v>
      </c>
    </row>
    <row r="131" spans="1:3" ht="15" x14ac:dyDescent="0.2">
      <c r="A131" s="15" t="s">
        <v>346</v>
      </c>
      <c r="B131" s="15" t="s">
        <v>82</v>
      </c>
      <c r="C131" s="15" t="s">
        <v>347</v>
      </c>
    </row>
    <row r="132" spans="1:3" ht="15" x14ac:dyDescent="0.2">
      <c r="A132" s="15" t="s">
        <v>348</v>
      </c>
      <c r="B132" s="15" t="s">
        <v>82</v>
      </c>
      <c r="C132" s="15" t="s">
        <v>349</v>
      </c>
    </row>
    <row r="133" spans="1:3" ht="15" x14ac:dyDescent="0.2">
      <c r="A133" s="15" t="s">
        <v>350</v>
      </c>
      <c r="B133" s="15" t="s">
        <v>82</v>
      </c>
      <c r="C133" s="15" t="s">
        <v>351</v>
      </c>
    </row>
    <row r="134" spans="1:3" ht="15" x14ac:dyDescent="0.2">
      <c r="A134" s="15" t="s">
        <v>352</v>
      </c>
      <c r="B134" s="15" t="s">
        <v>82</v>
      </c>
      <c r="C134" s="15" t="s">
        <v>353</v>
      </c>
    </row>
    <row r="135" spans="1:3" ht="15" x14ac:dyDescent="0.2">
      <c r="A135" s="15" t="s">
        <v>354</v>
      </c>
      <c r="B135" s="15" t="s">
        <v>82</v>
      </c>
      <c r="C135" s="15" t="s">
        <v>355</v>
      </c>
    </row>
    <row r="136" spans="1:3" ht="15" x14ac:dyDescent="0.2">
      <c r="A136" s="15" t="s">
        <v>356</v>
      </c>
      <c r="B136" s="15" t="s">
        <v>82</v>
      </c>
      <c r="C136" s="15" t="s">
        <v>357</v>
      </c>
    </row>
    <row r="137" spans="1:3" ht="15" x14ac:dyDescent="0.2">
      <c r="A137" s="15" t="s">
        <v>358</v>
      </c>
      <c r="B137" s="15" t="s">
        <v>82</v>
      </c>
      <c r="C137" s="15" t="s">
        <v>359</v>
      </c>
    </row>
    <row r="138" spans="1:3" ht="15" x14ac:dyDescent="0.2">
      <c r="A138" s="15" t="s">
        <v>360</v>
      </c>
      <c r="B138" s="15" t="s">
        <v>82</v>
      </c>
      <c r="C138" s="15" t="s">
        <v>361</v>
      </c>
    </row>
    <row r="139" spans="1:3" ht="15" x14ac:dyDescent="0.2">
      <c r="A139" s="15" t="s">
        <v>362</v>
      </c>
      <c r="B139" s="15" t="s">
        <v>82</v>
      </c>
      <c r="C139" s="15" t="s">
        <v>363</v>
      </c>
    </row>
    <row r="140" spans="1:3" ht="15" x14ac:dyDescent="0.2">
      <c r="A140" s="15" t="s">
        <v>364</v>
      </c>
      <c r="B140" s="15" t="s">
        <v>82</v>
      </c>
      <c r="C140" s="15" t="s">
        <v>365</v>
      </c>
    </row>
    <row r="141" spans="1:3" ht="15" x14ac:dyDescent="0.2">
      <c r="A141" s="15" t="s">
        <v>366</v>
      </c>
      <c r="B141" s="15" t="s">
        <v>82</v>
      </c>
      <c r="C141" s="15" t="s">
        <v>367</v>
      </c>
    </row>
    <row r="142" spans="1:3" ht="15" x14ac:dyDescent="0.2">
      <c r="A142" s="15" t="s">
        <v>368</v>
      </c>
      <c r="B142" s="15" t="s">
        <v>82</v>
      </c>
      <c r="C142" s="15" t="s">
        <v>369</v>
      </c>
    </row>
    <row r="143" spans="1:3" ht="15" x14ac:dyDescent="0.2">
      <c r="A143" s="15" t="s">
        <v>370</v>
      </c>
      <c r="B143" s="15" t="s">
        <v>82</v>
      </c>
      <c r="C143" s="15" t="s">
        <v>371</v>
      </c>
    </row>
    <row r="144" spans="1:3" ht="15" x14ac:dyDescent="0.2">
      <c r="A144" s="15" t="s">
        <v>372</v>
      </c>
      <c r="B144" s="15" t="s">
        <v>82</v>
      </c>
      <c r="C144" s="15" t="s">
        <v>373</v>
      </c>
    </row>
    <row r="145" spans="1:3" ht="15" x14ac:dyDescent="0.2">
      <c r="A145" s="15" t="s">
        <v>374</v>
      </c>
      <c r="B145" s="15" t="s">
        <v>82</v>
      </c>
      <c r="C145" s="15" t="s">
        <v>375</v>
      </c>
    </row>
    <row r="146" spans="1:3" ht="15" x14ac:dyDescent="0.2">
      <c r="A146" s="15" t="s">
        <v>376</v>
      </c>
      <c r="B146" s="15" t="s">
        <v>82</v>
      </c>
      <c r="C146" s="15" t="s">
        <v>377</v>
      </c>
    </row>
    <row r="147" spans="1:3" ht="15" x14ac:dyDescent="0.2">
      <c r="A147" s="15" t="s">
        <v>378</v>
      </c>
      <c r="B147" s="15" t="s">
        <v>82</v>
      </c>
      <c r="C147" s="15" t="s">
        <v>379</v>
      </c>
    </row>
    <row r="148" spans="1:3" ht="15" x14ac:dyDescent="0.2">
      <c r="A148" s="15" t="s">
        <v>380</v>
      </c>
      <c r="B148" s="15" t="s">
        <v>82</v>
      </c>
      <c r="C148" s="15" t="s">
        <v>381</v>
      </c>
    </row>
    <row r="149" spans="1:3" ht="15" x14ac:dyDescent="0.2">
      <c r="A149" s="15" t="s">
        <v>382</v>
      </c>
      <c r="B149" s="15" t="s">
        <v>82</v>
      </c>
      <c r="C149" s="15" t="s">
        <v>383</v>
      </c>
    </row>
    <row r="150" spans="1:3" ht="15" x14ac:dyDescent="0.2">
      <c r="A150" s="15" t="s">
        <v>384</v>
      </c>
      <c r="B150" s="15" t="s">
        <v>82</v>
      </c>
      <c r="C150" s="15" t="s">
        <v>385</v>
      </c>
    </row>
    <row r="151" spans="1:3" ht="15" x14ac:dyDescent="0.2">
      <c r="A151" s="15" t="s">
        <v>386</v>
      </c>
      <c r="B151" s="15" t="s">
        <v>82</v>
      </c>
      <c r="C151" s="15" t="s">
        <v>387</v>
      </c>
    </row>
    <row r="152" spans="1:3" ht="15" x14ac:dyDescent="0.2">
      <c r="A152" s="15" t="s">
        <v>388</v>
      </c>
      <c r="B152" s="15" t="s">
        <v>82</v>
      </c>
      <c r="C152" s="15" t="s">
        <v>389</v>
      </c>
    </row>
    <row r="153" spans="1:3" ht="15" x14ac:dyDescent="0.2">
      <c r="A153" s="15" t="s">
        <v>390</v>
      </c>
      <c r="B153" s="15" t="s">
        <v>82</v>
      </c>
      <c r="C153" s="15" t="s">
        <v>391</v>
      </c>
    </row>
    <row r="154" spans="1:3" ht="15" x14ac:dyDescent="0.2">
      <c r="A154" s="15" t="s">
        <v>392</v>
      </c>
      <c r="B154" s="15" t="s">
        <v>82</v>
      </c>
      <c r="C154" s="15" t="s">
        <v>393</v>
      </c>
    </row>
    <row r="155" spans="1:3" ht="15" x14ac:dyDescent="0.2">
      <c r="A155" s="15" t="s">
        <v>394</v>
      </c>
      <c r="B155" s="15" t="s">
        <v>82</v>
      </c>
      <c r="C155" s="15" t="s">
        <v>395</v>
      </c>
    </row>
    <row r="156" spans="1:3" ht="15" x14ac:dyDescent="0.2">
      <c r="A156" s="15" t="s">
        <v>396</v>
      </c>
      <c r="B156" s="15" t="s">
        <v>82</v>
      </c>
      <c r="C156" s="15" t="s">
        <v>397</v>
      </c>
    </row>
    <row r="157" spans="1:3" ht="15" x14ac:dyDescent="0.2">
      <c r="A157" s="15" t="s">
        <v>398</v>
      </c>
      <c r="B157" s="15" t="s">
        <v>82</v>
      </c>
      <c r="C157" s="15" t="s">
        <v>399</v>
      </c>
    </row>
    <row r="158" spans="1:3" ht="15" x14ac:dyDescent="0.2">
      <c r="A158" s="15" t="s">
        <v>400</v>
      </c>
      <c r="B158" s="15" t="s">
        <v>82</v>
      </c>
      <c r="C158" s="15" t="s">
        <v>401</v>
      </c>
    </row>
    <row r="159" spans="1:3" ht="15" x14ac:dyDescent="0.2">
      <c r="A159" s="15" t="s">
        <v>402</v>
      </c>
      <c r="B159" s="15" t="s">
        <v>82</v>
      </c>
      <c r="C159" s="15" t="s">
        <v>403</v>
      </c>
    </row>
    <row r="160" spans="1:3" ht="15" x14ac:dyDescent="0.2">
      <c r="A160" s="15" t="s">
        <v>404</v>
      </c>
      <c r="B160" s="15" t="s">
        <v>82</v>
      </c>
      <c r="C160" s="15" t="s">
        <v>405</v>
      </c>
    </row>
    <row r="161" spans="1:3" ht="15" x14ac:dyDescent="0.2">
      <c r="A161" s="15" t="s">
        <v>406</v>
      </c>
      <c r="B161" s="15" t="s">
        <v>82</v>
      </c>
      <c r="C161" s="15" t="s">
        <v>407</v>
      </c>
    </row>
    <row r="162" spans="1:3" ht="15" x14ac:dyDescent="0.2">
      <c r="A162" s="15" t="s">
        <v>408</v>
      </c>
      <c r="B162" s="15" t="s">
        <v>82</v>
      </c>
      <c r="C162" s="15" t="s">
        <v>409</v>
      </c>
    </row>
    <row r="163" spans="1:3" ht="15" x14ac:dyDescent="0.2">
      <c r="A163" s="15" t="s">
        <v>410</v>
      </c>
      <c r="B163" s="15" t="s">
        <v>82</v>
      </c>
      <c r="C163" s="15" t="s">
        <v>411</v>
      </c>
    </row>
    <row r="164" spans="1:3" ht="15" x14ac:dyDescent="0.2">
      <c r="A164" s="15" t="s">
        <v>412</v>
      </c>
      <c r="B164" s="15" t="s">
        <v>82</v>
      </c>
      <c r="C164" s="15" t="s">
        <v>413</v>
      </c>
    </row>
    <row r="165" spans="1:3" ht="15" x14ac:dyDescent="0.2">
      <c r="A165" s="15" t="s">
        <v>414</v>
      </c>
      <c r="B165" s="15" t="s">
        <v>82</v>
      </c>
      <c r="C165" s="15" t="s">
        <v>415</v>
      </c>
    </row>
    <row r="166" spans="1:3" ht="15" x14ac:dyDescent="0.2">
      <c r="A166" s="15" t="s">
        <v>416</v>
      </c>
      <c r="B166" s="15" t="s">
        <v>82</v>
      </c>
      <c r="C166" s="15" t="s">
        <v>417</v>
      </c>
    </row>
    <row r="167" spans="1:3" ht="15" x14ac:dyDescent="0.2">
      <c r="A167" s="15" t="s">
        <v>418</v>
      </c>
      <c r="B167" s="15" t="s">
        <v>82</v>
      </c>
      <c r="C167" s="15" t="s">
        <v>419</v>
      </c>
    </row>
    <row r="168" spans="1:3" ht="15" x14ac:dyDescent="0.2">
      <c r="A168" s="15" t="s">
        <v>420</v>
      </c>
      <c r="B168" s="15" t="s">
        <v>82</v>
      </c>
      <c r="C168" s="15" t="s">
        <v>421</v>
      </c>
    </row>
    <row r="169" spans="1:3" ht="15" x14ac:dyDescent="0.2">
      <c r="A169" s="15" t="s">
        <v>422</v>
      </c>
      <c r="B169" s="15" t="s">
        <v>82</v>
      </c>
      <c r="C169" s="15" t="s">
        <v>423</v>
      </c>
    </row>
    <row r="170" spans="1:3" ht="15" x14ac:dyDescent="0.2">
      <c r="A170" s="15" t="s">
        <v>424</v>
      </c>
      <c r="B170" s="15" t="s">
        <v>82</v>
      </c>
      <c r="C170" s="15" t="s">
        <v>425</v>
      </c>
    </row>
    <row r="171" spans="1:3" ht="15" x14ac:dyDescent="0.2">
      <c r="A171" s="15" t="s">
        <v>426</v>
      </c>
      <c r="B171" s="15" t="s">
        <v>82</v>
      </c>
      <c r="C171" s="15" t="s">
        <v>427</v>
      </c>
    </row>
    <row r="172" spans="1:3" ht="15" x14ac:dyDescent="0.2">
      <c r="A172" s="15" t="s">
        <v>428</v>
      </c>
      <c r="B172" s="15" t="s">
        <v>82</v>
      </c>
      <c r="C172" s="15" t="s">
        <v>429</v>
      </c>
    </row>
    <row r="173" spans="1:3" ht="15" x14ac:dyDescent="0.2">
      <c r="A173" s="15" t="s">
        <v>430</v>
      </c>
      <c r="B173" s="15" t="s">
        <v>82</v>
      </c>
      <c r="C173" s="15" t="s">
        <v>431</v>
      </c>
    </row>
    <row r="174" spans="1:3" ht="15" x14ac:dyDescent="0.2">
      <c r="A174" s="15" t="s">
        <v>432</v>
      </c>
      <c r="B174" s="15" t="s">
        <v>82</v>
      </c>
      <c r="C174" s="15" t="s">
        <v>433</v>
      </c>
    </row>
    <row r="175" spans="1:3" ht="15" x14ac:dyDescent="0.2">
      <c r="A175" s="15" t="s">
        <v>434</v>
      </c>
      <c r="B175" s="15" t="s">
        <v>82</v>
      </c>
      <c r="C175" s="15" t="s">
        <v>435</v>
      </c>
    </row>
    <row r="176" spans="1:3" ht="15" x14ac:dyDescent="0.2">
      <c r="A176" s="15" t="s">
        <v>436</v>
      </c>
      <c r="B176" s="15" t="s">
        <v>82</v>
      </c>
      <c r="C176" s="15" t="s">
        <v>437</v>
      </c>
    </row>
    <row r="177" spans="1:3" ht="15" x14ac:dyDescent="0.2">
      <c r="A177" s="15" t="s">
        <v>438</v>
      </c>
      <c r="B177" s="15" t="s">
        <v>82</v>
      </c>
      <c r="C177" s="15" t="s">
        <v>439</v>
      </c>
    </row>
    <row r="178" spans="1:3" ht="15" x14ac:dyDescent="0.2">
      <c r="A178" s="15" t="s">
        <v>440</v>
      </c>
      <c r="B178" s="15" t="s">
        <v>82</v>
      </c>
      <c r="C178" s="15" t="s">
        <v>441</v>
      </c>
    </row>
    <row r="179" spans="1:3" ht="15" x14ac:dyDescent="0.2">
      <c r="A179" s="15" t="s">
        <v>442</v>
      </c>
      <c r="B179" s="15" t="s">
        <v>82</v>
      </c>
      <c r="C179" s="15" t="s">
        <v>443</v>
      </c>
    </row>
    <row r="180" spans="1:3" ht="15" x14ac:dyDescent="0.2">
      <c r="A180" s="15" t="s">
        <v>444</v>
      </c>
      <c r="B180" s="15" t="s">
        <v>82</v>
      </c>
      <c r="C180" s="15" t="s">
        <v>445</v>
      </c>
    </row>
    <row r="181" spans="1:3" ht="15" x14ac:dyDescent="0.2">
      <c r="A181" s="15" t="s">
        <v>446</v>
      </c>
      <c r="B181" s="15" t="s">
        <v>82</v>
      </c>
      <c r="C181" s="15" t="s">
        <v>447</v>
      </c>
    </row>
    <row r="182" spans="1:3" ht="15" x14ac:dyDescent="0.2">
      <c r="A182" s="15" t="s">
        <v>448</v>
      </c>
      <c r="B182" s="15" t="s">
        <v>82</v>
      </c>
      <c r="C182" s="15" t="s">
        <v>449</v>
      </c>
    </row>
    <row r="183" spans="1:3" ht="15" x14ac:dyDescent="0.2">
      <c r="A183" s="15" t="s">
        <v>450</v>
      </c>
      <c r="B183" s="15" t="s">
        <v>82</v>
      </c>
      <c r="C183" s="15" t="s">
        <v>451</v>
      </c>
    </row>
    <row r="184" spans="1:3" ht="15" x14ac:dyDescent="0.2">
      <c r="A184" s="15" t="s">
        <v>452</v>
      </c>
      <c r="B184" s="15" t="s">
        <v>82</v>
      </c>
      <c r="C184" s="15" t="s">
        <v>453</v>
      </c>
    </row>
    <row r="185" spans="1:3" ht="15" x14ac:dyDescent="0.2">
      <c r="A185" s="15" t="s">
        <v>454</v>
      </c>
      <c r="B185" s="15" t="s">
        <v>82</v>
      </c>
      <c r="C185" s="15" t="s">
        <v>455</v>
      </c>
    </row>
    <row r="186" spans="1:3" ht="15" x14ac:dyDescent="0.2">
      <c r="A186" s="15" t="s">
        <v>456</v>
      </c>
      <c r="B186" s="15" t="s">
        <v>82</v>
      </c>
      <c r="C186" s="15" t="s">
        <v>457</v>
      </c>
    </row>
    <row r="187" spans="1:3" ht="15" x14ac:dyDescent="0.2">
      <c r="A187" s="15" t="s">
        <v>458</v>
      </c>
      <c r="B187" s="15" t="s">
        <v>82</v>
      </c>
      <c r="C187" s="15" t="s">
        <v>459</v>
      </c>
    </row>
    <row r="188" spans="1:3" ht="15" x14ac:dyDescent="0.2">
      <c r="A188" s="15" t="s">
        <v>460</v>
      </c>
      <c r="B188" s="15" t="s">
        <v>82</v>
      </c>
      <c r="C188" s="15" t="s">
        <v>461</v>
      </c>
    </row>
    <row r="189" spans="1:3" ht="15" x14ac:dyDescent="0.2">
      <c r="A189" s="15" t="s">
        <v>462</v>
      </c>
      <c r="B189" s="15" t="s">
        <v>82</v>
      </c>
      <c r="C189" s="15" t="s">
        <v>463</v>
      </c>
    </row>
    <row r="190" spans="1:3" ht="15" x14ac:dyDescent="0.2">
      <c r="A190" s="15" t="s">
        <v>464</v>
      </c>
      <c r="B190" s="15" t="s">
        <v>82</v>
      </c>
      <c r="C190" s="15" t="s">
        <v>465</v>
      </c>
    </row>
    <row r="191" spans="1:3" ht="15" x14ac:dyDescent="0.2">
      <c r="A191" s="15" t="s">
        <v>466</v>
      </c>
      <c r="B191" s="15" t="s">
        <v>82</v>
      </c>
      <c r="C191" s="15" t="s">
        <v>467</v>
      </c>
    </row>
    <row r="192" spans="1:3" ht="15" x14ac:dyDescent="0.2">
      <c r="A192" s="15" t="s">
        <v>468</v>
      </c>
      <c r="B192" s="15" t="s">
        <v>82</v>
      </c>
      <c r="C192" s="15" t="s">
        <v>469</v>
      </c>
    </row>
    <row r="193" spans="1:3" ht="15" x14ac:dyDescent="0.2">
      <c r="A193" s="15" t="s">
        <v>470</v>
      </c>
      <c r="B193" s="15" t="s">
        <v>82</v>
      </c>
      <c r="C193" s="15" t="s">
        <v>471</v>
      </c>
    </row>
    <row r="194" spans="1:3" ht="15" x14ac:dyDescent="0.2">
      <c r="A194" s="15" t="s">
        <v>472</v>
      </c>
      <c r="B194" s="15" t="s">
        <v>82</v>
      </c>
      <c r="C194" s="15" t="s">
        <v>473</v>
      </c>
    </row>
    <row r="195" spans="1:3" ht="15" x14ac:dyDescent="0.2">
      <c r="A195" s="15" t="s">
        <v>474</v>
      </c>
      <c r="B195" s="15" t="s">
        <v>82</v>
      </c>
      <c r="C195" s="15" t="s">
        <v>475</v>
      </c>
    </row>
    <row r="196" spans="1:3" ht="15" x14ac:dyDescent="0.2">
      <c r="A196" s="15" t="s">
        <v>476</v>
      </c>
      <c r="B196" s="15" t="s">
        <v>82</v>
      </c>
      <c r="C196" s="15" t="s">
        <v>477</v>
      </c>
    </row>
    <row r="197" spans="1:3" ht="15" x14ac:dyDescent="0.2">
      <c r="A197" s="15" t="s">
        <v>478</v>
      </c>
      <c r="B197" s="15" t="s">
        <v>82</v>
      </c>
      <c r="C197" s="15" t="s">
        <v>479</v>
      </c>
    </row>
    <row r="198" spans="1:3" ht="15" x14ac:dyDescent="0.2">
      <c r="A198" s="15" t="s">
        <v>480</v>
      </c>
      <c r="B198" s="15" t="s">
        <v>82</v>
      </c>
      <c r="C198" s="15" t="s">
        <v>481</v>
      </c>
    </row>
    <row r="199" spans="1:3" ht="15" x14ac:dyDescent="0.2">
      <c r="A199" s="15" t="s">
        <v>482</v>
      </c>
      <c r="B199" s="15" t="s">
        <v>82</v>
      </c>
      <c r="C199" s="15" t="s">
        <v>483</v>
      </c>
    </row>
    <row r="200" spans="1:3" ht="15" x14ac:dyDescent="0.2">
      <c r="A200" s="15" t="s">
        <v>484</v>
      </c>
      <c r="B200" s="15" t="s">
        <v>82</v>
      </c>
      <c r="C200" s="15" t="s">
        <v>485</v>
      </c>
    </row>
    <row r="201" spans="1:3" ht="15" x14ac:dyDescent="0.2">
      <c r="A201" s="15" t="s">
        <v>486</v>
      </c>
      <c r="B201" s="15" t="s">
        <v>82</v>
      </c>
      <c r="C201" s="15" t="s">
        <v>487</v>
      </c>
    </row>
    <row r="202" spans="1:3" ht="15" x14ac:dyDescent="0.2">
      <c r="A202" s="15" t="s">
        <v>488</v>
      </c>
      <c r="B202" s="15" t="s">
        <v>82</v>
      </c>
      <c r="C202" s="15" t="s">
        <v>489</v>
      </c>
    </row>
    <row r="203" spans="1:3" ht="15" x14ac:dyDescent="0.2">
      <c r="A203" s="15" t="s">
        <v>490</v>
      </c>
      <c r="B203" s="15" t="s">
        <v>82</v>
      </c>
      <c r="C203" s="15" t="s">
        <v>491</v>
      </c>
    </row>
    <row r="204" spans="1:3" ht="15" x14ac:dyDescent="0.2">
      <c r="A204" s="15" t="s">
        <v>492</v>
      </c>
      <c r="B204" s="15" t="s">
        <v>82</v>
      </c>
      <c r="C204" s="15" t="s">
        <v>493</v>
      </c>
    </row>
    <row r="205" spans="1:3" ht="15" x14ac:dyDescent="0.2">
      <c r="A205" s="15" t="s">
        <v>494</v>
      </c>
      <c r="B205" s="15" t="s">
        <v>82</v>
      </c>
      <c r="C205" s="15" t="s">
        <v>495</v>
      </c>
    </row>
    <row r="206" spans="1:3" ht="15" x14ac:dyDescent="0.2">
      <c r="A206" s="15" t="s">
        <v>496</v>
      </c>
      <c r="B206" s="15" t="s">
        <v>82</v>
      </c>
      <c r="C206" s="15" t="s">
        <v>497</v>
      </c>
    </row>
    <row r="207" spans="1:3" ht="15" x14ac:dyDescent="0.2">
      <c r="A207" s="15" t="s">
        <v>498</v>
      </c>
      <c r="B207" s="15" t="s">
        <v>82</v>
      </c>
      <c r="C207" s="15" t="s">
        <v>499</v>
      </c>
    </row>
    <row r="208" spans="1:3" ht="15" x14ac:dyDescent="0.2">
      <c r="A208" s="15" t="s">
        <v>500</v>
      </c>
      <c r="B208" s="15" t="s">
        <v>82</v>
      </c>
      <c r="C208" s="15" t="s">
        <v>501</v>
      </c>
    </row>
    <row r="209" spans="1:3" ht="15" x14ac:dyDescent="0.2">
      <c r="A209" s="15" t="s">
        <v>502</v>
      </c>
      <c r="B209" s="15" t="s">
        <v>82</v>
      </c>
      <c r="C209" s="15" t="s">
        <v>503</v>
      </c>
    </row>
    <row r="210" spans="1:3" ht="15" x14ac:dyDescent="0.2">
      <c r="A210" s="15" t="s">
        <v>504</v>
      </c>
      <c r="B210" s="15" t="s">
        <v>82</v>
      </c>
      <c r="C210" s="15" t="s">
        <v>505</v>
      </c>
    </row>
    <row r="211" spans="1:3" ht="15" x14ac:dyDescent="0.2">
      <c r="A211" s="15" t="s">
        <v>506</v>
      </c>
      <c r="B211" s="15" t="s">
        <v>82</v>
      </c>
      <c r="C211" s="15" t="s">
        <v>507</v>
      </c>
    </row>
    <row r="212" spans="1:3" ht="15" x14ac:dyDescent="0.2">
      <c r="A212" s="15" t="s">
        <v>508</v>
      </c>
      <c r="B212" s="15" t="s">
        <v>82</v>
      </c>
      <c r="C212" s="15" t="s">
        <v>509</v>
      </c>
    </row>
    <row r="213" spans="1:3" ht="15" x14ac:dyDescent="0.2">
      <c r="A213" s="15" t="s">
        <v>510</v>
      </c>
      <c r="B213" s="15" t="s">
        <v>82</v>
      </c>
      <c r="C213" s="15" t="s">
        <v>511</v>
      </c>
    </row>
    <row r="214" spans="1:3" ht="15" x14ac:dyDescent="0.2">
      <c r="A214" s="15" t="s">
        <v>512</v>
      </c>
      <c r="B214" s="15" t="s">
        <v>82</v>
      </c>
      <c r="C214" s="15" t="s">
        <v>513</v>
      </c>
    </row>
    <row r="215" spans="1:3" ht="15" x14ac:dyDescent="0.2">
      <c r="A215" s="15" t="s">
        <v>514</v>
      </c>
      <c r="B215" s="15" t="s">
        <v>82</v>
      </c>
      <c r="C215" s="15" t="s">
        <v>515</v>
      </c>
    </row>
    <row r="216" spans="1:3" ht="15" x14ac:dyDescent="0.2">
      <c r="A216" s="15" t="s">
        <v>516</v>
      </c>
      <c r="B216" s="15" t="s">
        <v>82</v>
      </c>
      <c r="C216" s="15" t="s">
        <v>517</v>
      </c>
    </row>
    <row r="217" spans="1:3" ht="15" x14ac:dyDescent="0.2">
      <c r="A217" s="15" t="s">
        <v>518</v>
      </c>
      <c r="B217" s="15" t="s">
        <v>82</v>
      </c>
      <c r="C217" s="15" t="s">
        <v>519</v>
      </c>
    </row>
    <row r="218" spans="1:3" ht="15" x14ac:dyDescent="0.2">
      <c r="A218" s="15" t="s">
        <v>520</v>
      </c>
      <c r="B218" s="15" t="s">
        <v>82</v>
      </c>
      <c r="C218" s="15" t="s">
        <v>521</v>
      </c>
    </row>
    <row r="219" spans="1:3" ht="15" x14ac:dyDescent="0.2">
      <c r="A219" s="15" t="s">
        <v>522</v>
      </c>
      <c r="B219" s="15" t="s">
        <v>82</v>
      </c>
      <c r="C219" s="15" t="s">
        <v>523</v>
      </c>
    </row>
    <row r="220" spans="1:3" ht="15" x14ac:dyDescent="0.2">
      <c r="A220" s="15" t="s">
        <v>524</v>
      </c>
      <c r="B220" s="15" t="s">
        <v>82</v>
      </c>
      <c r="C220" s="15" t="s">
        <v>525</v>
      </c>
    </row>
    <row r="221" spans="1:3" ht="15" x14ac:dyDescent="0.2">
      <c r="A221" s="15" t="s">
        <v>526</v>
      </c>
      <c r="B221" s="15" t="s">
        <v>82</v>
      </c>
      <c r="C221" s="15" t="s">
        <v>527</v>
      </c>
    </row>
    <row r="222" spans="1:3" ht="15" x14ac:dyDescent="0.2">
      <c r="A222" s="15" t="s">
        <v>528</v>
      </c>
      <c r="B222" s="15" t="s">
        <v>82</v>
      </c>
      <c r="C222" s="15" t="s">
        <v>529</v>
      </c>
    </row>
    <row r="223" spans="1:3" ht="15" x14ac:dyDescent="0.2">
      <c r="A223" s="15" t="s">
        <v>530</v>
      </c>
      <c r="B223" s="15" t="s">
        <v>82</v>
      </c>
      <c r="C223" s="15" t="s">
        <v>531</v>
      </c>
    </row>
    <row r="224" spans="1:3" ht="15" x14ac:dyDescent="0.2">
      <c r="A224" s="15" t="s">
        <v>532</v>
      </c>
      <c r="B224" s="15" t="s">
        <v>82</v>
      </c>
      <c r="C224" s="15" t="s">
        <v>533</v>
      </c>
    </row>
    <row r="225" spans="1:3" ht="15" x14ac:dyDescent="0.2">
      <c r="A225" s="15" t="s">
        <v>534</v>
      </c>
      <c r="B225" s="15" t="s">
        <v>82</v>
      </c>
      <c r="C225" s="15" t="s">
        <v>535</v>
      </c>
    </row>
    <row r="226" spans="1:3" ht="15" x14ac:dyDescent="0.2">
      <c r="A226" s="15" t="s">
        <v>536</v>
      </c>
      <c r="B226" s="15" t="s">
        <v>82</v>
      </c>
      <c r="C226" s="15" t="s">
        <v>537</v>
      </c>
    </row>
    <row r="227" spans="1:3" ht="15" x14ac:dyDescent="0.2">
      <c r="A227" s="15" t="s">
        <v>538</v>
      </c>
      <c r="B227" s="15" t="s">
        <v>82</v>
      </c>
      <c r="C227" s="15" t="s">
        <v>539</v>
      </c>
    </row>
    <row r="228" spans="1:3" ht="15" x14ac:dyDescent="0.2">
      <c r="A228" s="15" t="s">
        <v>540</v>
      </c>
      <c r="B228" s="15" t="s">
        <v>82</v>
      </c>
      <c r="C228" s="15" t="s">
        <v>541</v>
      </c>
    </row>
    <row r="229" spans="1:3" ht="15" x14ac:dyDescent="0.2">
      <c r="A229" s="15" t="s">
        <v>542</v>
      </c>
      <c r="B229" s="15" t="s">
        <v>82</v>
      </c>
      <c r="C229" s="15" t="s">
        <v>543</v>
      </c>
    </row>
    <row r="230" spans="1:3" ht="15" x14ac:dyDescent="0.2">
      <c r="A230" s="15" t="s">
        <v>544</v>
      </c>
      <c r="B230" s="15" t="s">
        <v>82</v>
      </c>
      <c r="C230" s="15" t="s">
        <v>545</v>
      </c>
    </row>
    <row r="231" spans="1:3" ht="15" x14ac:dyDescent="0.2">
      <c r="A231" s="15" t="s">
        <v>546</v>
      </c>
      <c r="B231" s="15" t="s">
        <v>82</v>
      </c>
      <c r="C231" s="15" t="s">
        <v>547</v>
      </c>
    </row>
    <row r="232" spans="1:3" ht="15" x14ac:dyDescent="0.2">
      <c r="A232" s="15" t="s">
        <v>548</v>
      </c>
      <c r="B232" s="15" t="s">
        <v>82</v>
      </c>
      <c r="C232" s="15" t="s">
        <v>549</v>
      </c>
    </row>
    <row r="233" spans="1:3" ht="15" x14ac:dyDescent="0.2">
      <c r="A233" s="15" t="s">
        <v>550</v>
      </c>
      <c r="B233" s="15" t="s">
        <v>82</v>
      </c>
      <c r="C233" s="15" t="s">
        <v>551</v>
      </c>
    </row>
    <row r="234" spans="1:3" ht="15" x14ac:dyDescent="0.2">
      <c r="A234" s="15" t="s">
        <v>552</v>
      </c>
      <c r="B234" s="15" t="s">
        <v>82</v>
      </c>
      <c r="C234" s="15" t="s">
        <v>553</v>
      </c>
    </row>
    <row r="235" spans="1:3" ht="15" x14ac:dyDescent="0.2">
      <c r="A235" s="15" t="s">
        <v>554</v>
      </c>
      <c r="B235" s="15" t="s">
        <v>82</v>
      </c>
      <c r="C235" s="15" t="s">
        <v>555</v>
      </c>
    </row>
    <row r="236" spans="1:3" ht="15" x14ac:dyDescent="0.2">
      <c r="A236" s="15" t="s">
        <v>556</v>
      </c>
      <c r="B236" s="15" t="s">
        <v>82</v>
      </c>
      <c r="C236" s="15" t="s">
        <v>557</v>
      </c>
    </row>
    <row r="237" spans="1:3" ht="15" x14ac:dyDescent="0.2">
      <c r="A237" s="15" t="s">
        <v>558</v>
      </c>
      <c r="B237" s="15" t="s">
        <v>82</v>
      </c>
      <c r="C237" s="15" t="s">
        <v>559</v>
      </c>
    </row>
    <row r="238" spans="1:3" ht="15" x14ac:dyDescent="0.2">
      <c r="A238" s="15" t="s">
        <v>560</v>
      </c>
      <c r="B238" s="15" t="s">
        <v>82</v>
      </c>
      <c r="C238" s="15" t="s">
        <v>561</v>
      </c>
    </row>
    <row r="239" spans="1:3" ht="15" x14ac:dyDescent="0.2">
      <c r="A239" s="15" t="s">
        <v>562</v>
      </c>
      <c r="B239" s="15" t="s">
        <v>82</v>
      </c>
      <c r="C239" s="15" t="s">
        <v>563</v>
      </c>
    </row>
    <row r="240" spans="1:3" ht="15" x14ac:dyDescent="0.2">
      <c r="A240" s="15" t="s">
        <v>564</v>
      </c>
      <c r="B240" s="15" t="s">
        <v>82</v>
      </c>
      <c r="C240" s="15" t="s">
        <v>565</v>
      </c>
    </row>
    <row r="241" spans="1:3" ht="15" x14ac:dyDescent="0.2">
      <c r="A241" s="15" t="s">
        <v>566</v>
      </c>
      <c r="B241" s="15" t="s">
        <v>82</v>
      </c>
      <c r="C241" s="15" t="s">
        <v>567</v>
      </c>
    </row>
    <row r="242" spans="1:3" ht="15" x14ac:dyDescent="0.2">
      <c r="A242" s="15" t="s">
        <v>568</v>
      </c>
      <c r="B242" s="15" t="s">
        <v>82</v>
      </c>
      <c r="C242" s="15" t="s">
        <v>569</v>
      </c>
    </row>
    <row r="243" spans="1:3" ht="15" x14ac:dyDescent="0.2">
      <c r="A243" s="15" t="s">
        <v>570</v>
      </c>
      <c r="B243" s="15" t="s">
        <v>82</v>
      </c>
      <c r="C243" s="15" t="s">
        <v>571</v>
      </c>
    </row>
    <row r="244" spans="1:3" ht="15" x14ac:dyDescent="0.2">
      <c r="A244" s="15" t="s">
        <v>572</v>
      </c>
      <c r="B244" s="15" t="s">
        <v>82</v>
      </c>
      <c r="C244" s="15" t="s">
        <v>573</v>
      </c>
    </row>
    <row r="245" spans="1:3" x14ac:dyDescent="0.2">
      <c r="A245" s="114" t="s">
        <v>574</v>
      </c>
      <c r="B245" s="114" t="s">
        <v>82</v>
      </c>
      <c r="C245" s="114" t="s">
        <v>575</v>
      </c>
    </row>
    <row r="246" spans="1:3" x14ac:dyDescent="0.2">
      <c r="A246" s="114" t="s">
        <v>576</v>
      </c>
      <c r="B246" s="114" t="s">
        <v>82</v>
      </c>
      <c r="C246" s="114" t="s">
        <v>577</v>
      </c>
    </row>
    <row r="247" spans="1:3" x14ac:dyDescent="0.2">
      <c r="A247" s="114" t="s">
        <v>578</v>
      </c>
      <c r="B247" s="114" t="s">
        <v>82</v>
      </c>
      <c r="C247" s="114" t="s">
        <v>579</v>
      </c>
    </row>
    <row r="248" spans="1:3" x14ac:dyDescent="0.2">
      <c r="A248" s="114" t="s">
        <v>580</v>
      </c>
      <c r="B248" s="114" t="s">
        <v>82</v>
      </c>
      <c r="C248" s="114" t="s">
        <v>581</v>
      </c>
    </row>
    <row r="249" spans="1:3" x14ac:dyDescent="0.2">
      <c r="A249" s="114" t="s">
        <v>582</v>
      </c>
      <c r="B249" s="114" t="s">
        <v>82</v>
      </c>
      <c r="C249" s="114" t="s">
        <v>583</v>
      </c>
    </row>
    <row r="250" spans="1:3" x14ac:dyDescent="0.2">
      <c r="A250" s="114" t="s">
        <v>584</v>
      </c>
      <c r="B250" s="114" t="s">
        <v>82</v>
      </c>
      <c r="C250" s="114" t="s">
        <v>585</v>
      </c>
    </row>
    <row r="251" spans="1:3" x14ac:dyDescent="0.2">
      <c r="A251" s="114" t="s">
        <v>586</v>
      </c>
      <c r="B251" s="114" t="s">
        <v>82</v>
      </c>
      <c r="C251" s="114" t="s">
        <v>587</v>
      </c>
    </row>
    <row r="252" spans="1:3" x14ac:dyDescent="0.2">
      <c r="A252" s="114" t="s">
        <v>588</v>
      </c>
      <c r="B252" s="114" t="s">
        <v>82</v>
      </c>
      <c r="C252" s="114" t="s">
        <v>589</v>
      </c>
    </row>
    <row r="253" spans="1:3" x14ac:dyDescent="0.2">
      <c r="A253" s="114" t="s">
        <v>590</v>
      </c>
      <c r="B253" s="114" t="s">
        <v>82</v>
      </c>
      <c r="C253" s="114" t="s">
        <v>591</v>
      </c>
    </row>
    <row r="254" spans="1:3" x14ac:dyDescent="0.2">
      <c r="A254" s="114" t="s">
        <v>592</v>
      </c>
      <c r="B254" s="114" t="s">
        <v>82</v>
      </c>
      <c r="C254" s="114" t="s">
        <v>593</v>
      </c>
    </row>
    <row r="255" spans="1:3" x14ac:dyDescent="0.2">
      <c r="A255" s="114" t="s">
        <v>594</v>
      </c>
      <c r="B255" s="114" t="s">
        <v>82</v>
      </c>
      <c r="C255" s="114" t="s">
        <v>595</v>
      </c>
    </row>
    <row r="256" spans="1:3" x14ac:dyDescent="0.2">
      <c r="A256" s="114" t="s">
        <v>596</v>
      </c>
      <c r="B256" s="114" t="s">
        <v>82</v>
      </c>
      <c r="C256" s="114" t="s">
        <v>597</v>
      </c>
    </row>
    <row r="257" spans="1:3" x14ac:dyDescent="0.2">
      <c r="A257" s="114" t="s">
        <v>598</v>
      </c>
      <c r="B257" s="114" t="s">
        <v>82</v>
      </c>
      <c r="C257" s="114" t="s">
        <v>599</v>
      </c>
    </row>
    <row r="258" spans="1:3" x14ac:dyDescent="0.2">
      <c r="A258" s="114" t="s">
        <v>600</v>
      </c>
      <c r="B258" s="114" t="s">
        <v>82</v>
      </c>
      <c r="C258" s="114" t="s">
        <v>601</v>
      </c>
    </row>
    <row r="259" spans="1:3" x14ac:dyDescent="0.2">
      <c r="A259" s="114" t="s">
        <v>602</v>
      </c>
      <c r="B259" s="114" t="s">
        <v>82</v>
      </c>
      <c r="C259" s="114" t="s">
        <v>603</v>
      </c>
    </row>
    <row r="260" spans="1:3" x14ac:dyDescent="0.2">
      <c r="A260" s="114" t="s">
        <v>604</v>
      </c>
      <c r="B260" s="114" t="s">
        <v>82</v>
      </c>
      <c r="C260" s="114" t="s">
        <v>605</v>
      </c>
    </row>
    <row r="261" spans="1:3" x14ac:dyDescent="0.2">
      <c r="A261" s="114" t="s">
        <v>606</v>
      </c>
      <c r="B261" s="114" t="s">
        <v>82</v>
      </c>
      <c r="C261" s="114" t="s">
        <v>607</v>
      </c>
    </row>
    <row r="262" spans="1:3" x14ac:dyDescent="0.2">
      <c r="A262" s="114" t="s">
        <v>608</v>
      </c>
      <c r="B262" s="114" t="s">
        <v>82</v>
      </c>
      <c r="C262" s="114" t="s">
        <v>609</v>
      </c>
    </row>
    <row r="263" spans="1:3" x14ac:dyDescent="0.2">
      <c r="A263" s="114" t="s">
        <v>610</v>
      </c>
      <c r="B263" s="114" t="s">
        <v>82</v>
      </c>
      <c r="C263" s="114" t="s">
        <v>611</v>
      </c>
    </row>
    <row r="264" spans="1:3" x14ac:dyDescent="0.2">
      <c r="A264" s="114" t="s">
        <v>612</v>
      </c>
      <c r="B264" s="114" t="s">
        <v>82</v>
      </c>
      <c r="C264" s="114" t="s">
        <v>613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2"/>
  <sheetViews>
    <sheetView workbookViewId="0">
      <selection activeCell="G22" sqref="G22"/>
    </sheetView>
  </sheetViews>
  <sheetFormatPr defaultRowHeight="15" x14ac:dyDescent="0.25"/>
  <sheetData>
    <row r="1" spans="1:3" x14ac:dyDescent="0.25">
      <c r="A1" s="14" t="s">
        <v>614</v>
      </c>
    </row>
    <row r="2" spans="1:3" x14ac:dyDescent="0.25">
      <c r="A2" s="16" t="s">
        <v>615</v>
      </c>
      <c r="B2" s="16"/>
      <c r="C2" s="16"/>
    </row>
    <row r="3" spans="1:3" x14ac:dyDescent="0.25">
      <c r="A3" s="15" t="s">
        <v>616</v>
      </c>
    </row>
    <row r="4" spans="1:3" x14ac:dyDescent="0.25">
      <c r="A4" s="15" t="s">
        <v>617</v>
      </c>
    </row>
    <row r="5" spans="1:3" x14ac:dyDescent="0.25">
      <c r="A5" s="15" t="s">
        <v>618</v>
      </c>
    </row>
    <row r="6" spans="1:3" x14ac:dyDescent="0.25">
      <c r="A6" s="15" t="s">
        <v>619</v>
      </c>
    </row>
    <row r="7" spans="1:3" x14ac:dyDescent="0.25">
      <c r="A7" s="15" t="s">
        <v>620</v>
      </c>
    </row>
    <row r="8" spans="1:3" x14ac:dyDescent="0.25">
      <c r="A8" s="15" t="s">
        <v>621</v>
      </c>
    </row>
    <row r="9" spans="1:3" x14ac:dyDescent="0.25">
      <c r="A9" s="15" t="s">
        <v>622</v>
      </c>
    </row>
    <row r="10" spans="1:3" x14ac:dyDescent="0.25">
      <c r="A10" s="15" t="s">
        <v>623</v>
      </c>
    </row>
    <row r="11" spans="1:3" x14ac:dyDescent="0.25">
      <c r="A11" s="15" t="s">
        <v>624</v>
      </c>
    </row>
    <row r="12" spans="1:3" x14ac:dyDescent="0.25">
      <c r="A12" s="15" t="s">
        <v>625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5754A847CBE544922796DCE71440B9" ma:contentTypeVersion="68" ma:contentTypeDescription="Create a new document." ma:contentTypeScope="" ma:versionID="87d0b6a6dc594822033646033acf5727">
  <xsd:schema xmlns:xsd="http://www.w3.org/2001/XMLSchema" xmlns:xs="http://www.w3.org/2001/XMLSchema" xmlns:p="http://schemas.microsoft.com/office/2006/metadata/properties" xmlns:ns2="bec12f29-17c3-4258-b6e3-ecfed8f4bd85" xmlns:ns3="23cfd323-53a1-43d4-a83e-b1b9b9db901a" targetNamespace="http://schemas.microsoft.com/office/2006/metadata/properties" ma:root="true" ma:fieldsID="e1b64cf1587bbca76a94c0cc68e4fab9" ns2:_="" ns3:_="">
    <xsd:import namespace="bec12f29-17c3-4258-b6e3-ecfed8f4bd85"/>
    <xsd:import namespace="23cfd323-53a1-43d4-a83e-b1b9b9db901a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c12f29-17c3-4258-b6e3-ecfed8f4bd85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4dcd8c87-de7c-4061-999e-0a50577b5f4c}" ma:internalName="TaxCatchAll" ma:showField="CatchAllData" ma:web="bec12f29-17c3-4258-b6e3-ecfed8f4bd8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cfd323-53a1-43d4-a83e-b1b9b9db90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08d44918-0402-4173-a38e-4345c47fbb3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4B94294CB887F42BEEB8F68FE8A24CE" ma:contentTypeVersion="13" ma:contentTypeDescription="Create a new document." ma:contentTypeScope="" ma:versionID="a8ca079e182ddfc12ee31dc9cb9b7f46">
  <xsd:schema xmlns:xsd="http://www.w3.org/2001/XMLSchema" xmlns:xs="http://www.w3.org/2001/XMLSchema" xmlns:p="http://schemas.microsoft.com/office/2006/metadata/properties" xmlns:ns2="4f66800e-b8c8-4f1d-9966-46ed6851c537" xmlns:ns3="ac658da9-eddc-40b3-a3e4-f4ed2eb4c2ea" targetNamespace="http://schemas.microsoft.com/office/2006/metadata/properties" ma:root="true" ma:fieldsID="1bd2490ebfad810c670ff89d61b25ee3" ns2:_="" ns3:_="">
    <xsd:import namespace="4f66800e-b8c8-4f1d-9966-46ed6851c537"/>
    <xsd:import namespace="ac658da9-eddc-40b3-a3e4-f4ed2eb4c2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ogo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66800e-b8c8-4f1d-9966-46ed6851c5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08d44918-0402-4173-a38e-4345c47fbb3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Logo" ma:index="18" nillable="true" ma:displayName="Logo " ma:format="Dropdown" ma:internalName="Logo">
      <xsd:simpleType>
        <xsd:restriction base="dms:Text">
          <xsd:maxLength value="255"/>
        </xsd:restriction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658da9-eddc-40b3-a3e4-f4ed2eb4c2e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25c88de9-26ca-44be-82ce-33109b6030b3}" ma:internalName="TaxCatchAll" ma:showField="CatchAllData" ma:web="ac658da9-eddc-40b3-a3e4-f4ed2eb4c2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c658da9-eddc-40b3-a3e4-f4ed2eb4c2ea" xsi:nil="true"/>
    <lcf76f155ced4ddcb4097134ff3c332f xmlns="4f66800e-b8c8-4f1d-9966-46ed6851c537">
      <Terms xmlns="http://schemas.microsoft.com/office/infopath/2007/PartnerControls"/>
    </lcf76f155ced4ddcb4097134ff3c332f>
    <Logo xmlns="4f66800e-b8c8-4f1d-9966-46ed6851c537" xsi:nil="true"/>
  </documentManagement>
</p:properties>
</file>

<file path=customXml/itemProps1.xml><?xml version="1.0" encoding="utf-8"?>
<ds:datastoreItem xmlns:ds="http://schemas.openxmlformats.org/officeDocument/2006/customXml" ds:itemID="{1E7ADBD1-ACDE-464F-A31D-97E6521401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ec12f29-17c3-4258-b6e3-ecfed8f4bd85"/>
    <ds:schemaRef ds:uri="23cfd323-53a1-43d4-a83e-b1b9b9db90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0AF4CB7-7EDD-4744-85B2-5F91AA471E1D}"/>
</file>

<file path=customXml/itemProps3.xml><?xml version="1.0" encoding="utf-8"?>
<ds:datastoreItem xmlns:ds="http://schemas.openxmlformats.org/officeDocument/2006/customXml" ds:itemID="{4BFC61ED-BF51-4D21-B0F3-527D3B18C51C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0A535FA7-10D2-4612-89B1-01B3FF16D749}">
  <ds:schemaRefs>
    <ds:schemaRef ds:uri="http://schemas.microsoft.com/office/2006/metadata/properties"/>
    <ds:schemaRef ds:uri="http://schemas.microsoft.com/office/infopath/2007/PartnerControls"/>
    <ds:schemaRef ds:uri="bec12f29-17c3-4258-b6e3-ecfed8f4bd85"/>
    <ds:schemaRef ds:uri="23cfd323-53a1-43d4-a83e-b1b9b9db901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Journal Entry Form</vt:lpstr>
      <vt:lpstr>Sheet1</vt:lpstr>
      <vt:lpstr>cost centre</vt:lpstr>
      <vt:lpstr>Fund</vt:lpstr>
      <vt:lpstr>CostCentre</vt:lpstr>
      <vt:lpstr>Dimension</vt:lpstr>
      <vt:lpstr>Fund</vt:lpstr>
      <vt:lpstr>'Journal Entry Form'!Print_Titles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setup</dc:creator>
  <cp:keywords/>
  <dc:description/>
  <cp:lastModifiedBy>Romina Cristofano</cp:lastModifiedBy>
  <cp:revision/>
  <dcterms:created xsi:type="dcterms:W3CDTF">2015-01-13T16:24:27Z</dcterms:created>
  <dcterms:modified xsi:type="dcterms:W3CDTF">2026-04-08T19:22:45Z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0x01010044B94294CB887F42BEEB8F68FE8A24CE</vt:lpwstr>
  </property>
  <property fmtid="{D5CDD505-2E9C-101B-9397-08002B2CF9AE}" pid="3" name="_dlc_DocIdItemGuid">
    <vt:lpwstr>afe899e3-451e-49fe-8428-32cf53ea4878</vt:lpwstr>
  </property>
  <property fmtid="{D5CDD505-2E9C-101B-9397-08002B2CF9AE}" pid="4" name="Order">
    <vt:r8>3200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MediaServiceImageTags">
    <vt:lpwstr/>
  </property>
</Properties>
</file>