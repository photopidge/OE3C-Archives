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alexwilder/iCloud Drive (Archive)/Documents/Documents - Alex’s MacBook Air/Grad School/OE3C/"/>
    </mc:Choice>
  </mc:AlternateContent>
  <xr:revisionPtr revIDLastSave="12" documentId="13_ncr:1_{98BE43FB-870C-F34B-A5C2-D0C2B4EF72EF}" xr6:coauthVersionLast="47" xr6:coauthVersionMax="47" xr10:uidLastSave="{2AFF7412-1924-465A-BE20-914BD4179B74}"/>
  <bookViews>
    <workbookView xWindow="760" yWindow="1100" windowWidth="27640" windowHeight="15560" firstSheet="2" activeTab="2" xr2:uid="{DCB8EBB7-C414-894C-8896-5FF89AC4B001}"/>
  </bookViews>
  <sheets>
    <sheet name="Expensive-boxed lunch" sheetId="5" r:id="rId1"/>
    <sheet name="Moderate version- boxed lunch" sheetId="6" r:id="rId2"/>
    <sheet name="Strict version-boxed lunch" sheetId="7" r:id="rId3"/>
    <sheet name="Expensive version- Buildlunch" sheetId="1" r:id="rId4"/>
    <sheet name="Moderate version- build lunch" sheetId="2" r:id="rId5"/>
    <sheet name="Strict version- build lunch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E8" i="7"/>
  <c r="Q24" i="7"/>
  <c r="K24" i="7"/>
  <c r="E24" i="7"/>
  <c r="Q24" i="6"/>
  <c r="K24" i="6"/>
  <c r="E24" i="6"/>
  <c r="Q24" i="5"/>
  <c r="K24" i="5"/>
  <c r="E24" i="5"/>
  <c r="B46" i="7"/>
  <c r="O34" i="7"/>
  <c r="I34" i="7"/>
  <c r="C34" i="7"/>
  <c r="Q33" i="7"/>
  <c r="K33" i="7"/>
  <c r="E33" i="7"/>
  <c r="Q32" i="7"/>
  <c r="K32" i="7"/>
  <c r="E32" i="7"/>
  <c r="Q31" i="7"/>
  <c r="K31" i="7"/>
  <c r="E31" i="7"/>
  <c r="Q29" i="7"/>
  <c r="K29" i="7"/>
  <c r="E29" i="7"/>
  <c r="Q28" i="7"/>
  <c r="K28" i="7"/>
  <c r="E28" i="7"/>
  <c r="Q27" i="7"/>
  <c r="K27" i="7"/>
  <c r="K35" i="7" s="1"/>
  <c r="E27" i="7"/>
  <c r="E35" i="7" s="1"/>
  <c r="O19" i="7"/>
  <c r="I19" i="7"/>
  <c r="Q18" i="7"/>
  <c r="K18" i="7"/>
  <c r="Q17" i="7"/>
  <c r="K17" i="7"/>
  <c r="Q16" i="7"/>
  <c r="K16" i="7"/>
  <c r="K20" i="7" s="1"/>
  <c r="J22" i="7" s="1"/>
  <c r="I10" i="7"/>
  <c r="O9" i="7"/>
  <c r="C9" i="7"/>
  <c r="Q8" i="7"/>
  <c r="K8" i="7"/>
  <c r="Q7" i="7"/>
  <c r="K7" i="7"/>
  <c r="Q6" i="7"/>
  <c r="K6" i="7"/>
  <c r="E6" i="7"/>
  <c r="Q4" i="7"/>
  <c r="K4" i="7"/>
  <c r="E4" i="7"/>
  <c r="Q3" i="7"/>
  <c r="K3" i="7"/>
  <c r="E3" i="7"/>
  <c r="Q2" i="7"/>
  <c r="K2" i="7"/>
  <c r="E2" i="7"/>
  <c r="B46" i="6"/>
  <c r="O34" i="6"/>
  <c r="I34" i="6"/>
  <c r="C34" i="6"/>
  <c r="Q33" i="6"/>
  <c r="K33" i="6"/>
  <c r="E33" i="6"/>
  <c r="Q32" i="6"/>
  <c r="K32" i="6"/>
  <c r="E32" i="6"/>
  <c r="Q31" i="6"/>
  <c r="K31" i="6"/>
  <c r="E31" i="6"/>
  <c r="Q29" i="6"/>
  <c r="K29" i="6"/>
  <c r="E29" i="6"/>
  <c r="Q28" i="6"/>
  <c r="K28" i="6"/>
  <c r="E28" i="6"/>
  <c r="Q27" i="6"/>
  <c r="K27" i="6"/>
  <c r="E27" i="6"/>
  <c r="O19" i="6"/>
  <c r="I19" i="6"/>
  <c r="Q18" i="6"/>
  <c r="K18" i="6"/>
  <c r="Q17" i="6"/>
  <c r="K17" i="6"/>
  <c r="Q16" i="6"/>
  <c r="K16" i="6"/>
  <c r="Q15" i="6"/>
  <c r="K15" i="6"/>
  <c r="I9" i="6"/>
  <c r="O8" i="6"/>
  <c r="C8" i="6"/>
  <c r="Q7" i="6"/>
  <c r="K7" i="6"/>
  <c r="E7" i="6"/>
  <c r="Q6" i="6"/>
  <c r="K6" i="6"/>
  <c r="E6" i="6"/>
  <c r="Q5" i="6"/>
  <c r="K5" i="6"/>
  <c r="E5" i="6"/>
  <c r="Q4" i="6"/>
  <c r="K4" i="6"/>
  <c r="E4" i="6"/>
  <c r="Q3" i="6"/>
  <c r="K3" i="6"/>
  <c r="E3" i="6"/>
  <c r="Q2" i="6"/>
  <c r="K2" i="6"/>
  <c r="E2" i="6"/>
  <c r="E9" i="6" s="1"/>
  <c r="C9" i="6" s="1"/>
  <c r="B46" i="5"/>
  <c r="O34" i="5"/>
  <c r="I34" i="5"/>
  <c r="C34" i="5"/>
  <c r="Q33" i="5"/>
  <c r="K33" i="5"/>
  <c r="E33" i="5"/>
  <c r="Q32" i="5"/>
  <c r="K32" i="5"/>
  <c r="E32" i="5"/>
  <c r="Q31" i="5"/>
  <c r="K31" i="5"/>
  <c r="E31" i="5"/>
  <c r="Q30" i="5"/>
  <c r="K30" i="5"/>
  <c r="E30" i="5"/>
  <c r="Q29" i="5"/>
  <c r="K29" i="5"/>
  <c r="E29" i="5"/>
  <c r="Q28" i="5"/>
  <c r="K28" i="5"/>
  <c r="E28" i="5"/>
  <c r="Q27" i="5"/>
  <c r="K27" i="5"/>
  <c r="E27" i="5"/>
  <c r="O19" i="5"/>
  <c r="I19" i="5"/>
  <c r="Q18" i="5"/>
  <c r="K18" i="5"/>
  <c r="Q17" i="5"/>
  <c r="K17" i="5"/>
  <c r="Q16" i="5"/>
  <c r="K16" i="5"/>
  <c r="Q15" i="5"/>
  <c r="K15" i="5"/>
  <c r="I9" i="5"/>
  <c r="O8" i="5"/>
  <c r="C8" i="5"/>
  <c r="Q7" i="5"/>
  <c r="K7" i="5"/>
  <c r="E7" i="5"/>
  <c r="Q6" i="5"/>
  <c r="K6" i="5"/>
  <c r="E6" i="5"/>
  <c r="Q5" i="5"/>
  <c r="K5" i="5"/>
  <c r="E5" i="5"/>
  <c r="Q4" i="5"/>
  <c r="K4" i="5"/>
  <c r="E4" i="5"/>
  <c r="Q3" i="5"/>
  <c r="K3" i="5"/>
  <c r="E3" i="5"/>
  <c r="Q2" i="5"/>
  <c r="K2" i="5"/>
  <c r="E2" i="5"/>
  <c r="B51" i="3"/>
  <c r="O39" i="3"/>
  <c r="I39" i="3"/>
  <c r="C39" i="3"/>
  <c r="Q38" i="3"/>
  <c r="K38" i="3"/>
  <c r="E38" i="3"/>
  <c r="Q37" i="3"/>
  <c r="K37" i="3"/>
  <c r="E37" i="3"/>
  <c r="Q36" i="3"/>
  <c r="K36" i="3"/>
  <c r="E36" i="3"/>
  <c r="Q34" i="3"/>
  <c r="K34" i="3"/>
  <c r="E34" i="3"/>
  <c r="Q33" i="3"/>
  <c r="K33" i="3"/>
  <c r="E33" i="3"/>
  <c r="Q32" i="3"/>
  <c r="Q40" i="3" s="1"/>
  <c r="K32" i="3"/>
  <c r="E32" i="3"/>
  <c r="Q30" i="3"/>
  <c r="K30" i="3"/>
  <c r="E30" i="3"/>
  <c r="Q29" i="3"/>
  <c r="K29" i="3"/>
  <c r="E29" i="3"/>
  <c r="Q28" i="3"/>
  <c r="K28" i="3"/>
  <c r="E28" i="3"/>
  <c r="Q27" i="3"/>
  <c r="K27" i="3"/>
  <c r="E27" i="3"/>
  <c r="Q26" i="3"/>
  <c r="K26" i="3"/>
  <c r="E26" i="3"/>
  <c r="Q25" i="3"/>
  <c r="K25" i="3"/>
  <c r="K24" i="3" s="1"/>
  <c r="J24" i="3" s="1"/>
  <c r="E25" i="3"/>
  <c r="E24" i="3" s="1"/>
  <c r="D24" i="3" s="1"/>
  <c r="O19" i="3"/>
  <c r="I19" i="3"/>
  <c r="Q18" i="3"/>
  <c r="K18" i="3"/>
  <c r="Q17" i="3"/>
  <c r="K17" i="3"/>
  <c r="Q16" i="3"/>
  <c r="K16" i="3"/>
  <c r="K20" i="3" s="1"/>
  <c r="I10" i="3"/>
  <c r="O9" i="3"/>
  <c r="C9" i="3"/>
  <c r="Q8" i="3"/>
  <c r="K8" i="3"/>
  <c r="E8" i="3"/>
  <c r="Q7" i="3"/>
  <c r="K7" i="3"/>
  <c r="E7" i="3"/>
  <c r="Q6" i="3"/>
  <c r="K6" i="3"/>
  <c r="E6" i="3"/>
  <c r="Q4" i="3"/>
  <c r="K4" i="3"/>
  <c r="E4" i="3"/>
  <c r="Q3" i="3"/>
  <c r="K3" i="3"/>
  <c r="E3" i="3"/>
  <c r="Q2" i="3"/>
  <c r="Q10" i="3" s="1"/>
  <c r="K2" i="3"/>
  <c r="E2" i="3"/>
  <c r="E10" i="3" s="1"/>
  <c r="B52" i="2"/>
  <c r="O40" i="2"/>
  <c r="I40" i="2"/>
  <c r="C40" i="2"/>
  <c r="Q39" i="2"/>
  <c r="K39" i="2"/>
  <c r="E39" i="2"/>
  <c r="Q38" i="2"/>
  <c r="K38" i="2"/>
  <c r="E38" i="2"/>
  <c r="Q37" i="2"/>
  <c r="K37" i="2"/>
  <c r="E37" i="2"/>
  <c r="Q35" i="2"/>
  <c r="K35" i="2"/>
  <c r="E35" i="2"/>
  <c r="Q34" i="2"/>
  <c r="K34" i="2"/>
  <c r="E34" i="2"/>
  <c r="Q33" i="2"/>
  <c r="Q41" i="2" s="1"/>
  <c r="K33" i="2"/>
  <c r="E33" i="2"/>
  <c r="E41" i="2" s="1"/>
  <c r="Q30" i="2"/>
  <c r="K30" i="2"/>
  <c r="E30" i="2"/>
  <c r="Q29" i="2"/>
  <c r="K29" i="2"/>
  <c r="E29" i="2"/>
  <c r="Q28" i="2"/>
  <c r="K28" i="2"/>
  <c r="E28" i="2"/>
  <c r="Q27" i="2"/>
  <c r="K27" i="2"/>
  <c r="E27" i="2"/>
  <c r="Q26" i="2"/>
  <c r="K26" i="2"/>
  <c r="E26" i="2"/>
  <c r="Q25" i="2"/>
  <c r="Q24" i="2" s="1"/>
  <c r="K25" i="2"/>
  <c r="K24" i="2" s="1"/>
  <c r="E25" i="2"/>
  <c r="E24" i="2" s="1"/>
  <c r="O19" i="2"/>
  <c r="I19" i="2"/>
  <c r="Q18" i="2"/>
  <c r="K18" i="2"/>
  <c r="Q17" i="2"/>
  <c r="K17" i="2"/>
  <c r="Q16" i="2"/>
  <c r="Q20" i="2" s="1"/>
  <c r="K16" i="2"/>
  <c r="Q15" i="2"/>
  <c r="K15" i="2"/>
  <c r="K20" i="2" s="1"/>
  <c r="I9" i="2"/>
  <c r="O8" i="2"/>
  <c r="C8" i="2"/>
  <c r="Q7" i="2"/>
  <c r="K7" i="2"/>
  <c r="E7" i="2"/>
  <c r="Q6" i="2"/>
  <c r="K6" i="2"/>
  <c r="E6" i="2"/>
  <c r="Q5" i="2"/>
  <c r="K5" i="2"/>
  <c r="E5" i="2"/>
  <c r="Q4" i="2"/>
  <c r="K4" i="2"/>
  <c r="E4" i="2"/>
  <c r="Q3" i="2"/>
  <c r="K3" i="2"/>
  <c r="E3" i="2"/>
  <c r="Q2" i="2"/>
  <c r="K2" i="2"/>
  <c r="K10" i="2" s="1"/>
  <c r="E2" i="2"/>
  <c r="B52" i="1"/>
  <c r="O40" i="1"/>
  <c r="I40" i="1"/>
  <c r="C40" i="1"/>
  <c r="Q39" i="1"/>
  <c r="K39" i="1"/>
  <c r="E39" i="1"/>
  <c r="Q38" i="1"/>
  <c r="K38" i="1"/>
  <c r="E38" i="1"/>
  <c r="Q37" i="1"/>
  <c r="K37" i="1"/>
  <c r="E37" i="1"/>
  <c r="Q36" i="1"/>
  <c r="K36" i="1"/>
  <c r="E36" i="1"/>
  <c r="Q35" i="1"/>
  <c r="K35" i="1"/>
  <c r="E35" i="1"/>
  <c r="Q34" i="1"/>
  <c r="K34" i="1"/>
  <c r="E34" i="1"/>
  <c r="Q33" i="1"/>
  <c r="Q41" i="1" s="1"/>
  <c r="K33" i="1"/>
  <c r="K41" i="1" s="1"/>
  <c r="E33" i="1"/>
  <c r="E41" i="1" s="1"/>
  <c r="Q30" i="1"/>
  <c r="K30" i="1"/>
  <c r="E30" i="1"/>
  <c r="Q29" i="1"/>
  <c r="K29" i="1"/>
  <c r="E29" i="1"/>
  <c r="Q28" i="1"/>
  <c r="K28" i="1"/>
  <c r="E28" i="1"/>
  <c r="Q27" i="1"/>
  <c r="K27" i="1"/>
  <c r="E27" i="1"/>
  <c r="Q26" i="1"/>
  <c r="K26" i="1"/>
  <c r="E26" i="1"/>
  <c r="Q25" i="1"/>
  <c r="K25" i="1"/>
  <c r="K24" i="1" s="1"/>
  <c r="E25" i="1"/>
  <c r="E24" i="1" s="1"/>
  <c r="Q24" i="1"/>
  <c r="O19" i="1"/>
  <c r="I19" i="1"/>
  <c r="Q18" i="1"/>
  <c r="K18" i="1"/>
  <c r="Q17" i="1"/>
  <c r="K17" i="1"/>
  <c r="Q16" i="1"/>
  <c r="K16" i="1"/>
  <c r="Q15" i="1"/>
  <c r="K15" i="1"/>
  <c r="I9" i="1"/>
  <c r="O8" i="1"/>
  <c r="C8" i="1"/>
  <c r="Q7" i="1"/>
  <c r="K7" i="1"/>
  <c r="E7" i="1"/>
  <c r="Q6" i="1"/>
  <c r="K6" i="1"/>
  <c r="E6" i="1"/>
  <c r="Q5" i="1"/>
  <c r="K5" i="1"/>
  <c r="E5" i="1"/>
  <c r="Q4" i="1"/>
  <c r="K4" i="1"/>
  <c r="E4" i="1"/>
  <c r="Q3" i="1"/>
  <c r="K3" i="1"/>
  <c r="E3" i="1"/>
  <c r="Q2" i="1"/>
  <c r="K2" i="1"/>
  <c r="K10" i="1" s="1"/>
  <c r="E2" i="1"/>
  <c r="E9" i="1" s="1"/>
  <c r="Q9" i="1" l="1"/>
  <c r="K20" i="1"/>
  <c r="Q20" i="1"/>
  <c r="P24" i="1"/>
  <c r="P31" i="1"/>
  <c r="Q9" i="2"/>
  <c r="E9" i="2"/>
  <c r="K41" i="2"/>
  <c r="K11" i="3"/>
  <c r="Q20" i="3"/>
  <c r="Q24" i="3"/>
  <c r="P24" i="3" s="1"/>
  <c r="K40" i="3"/>
  <c r="E40" i="3"/>
  <c r="K35" i="5"/>
  <c r="K20" i="6"/>
  <c r="E10" i="7"/>
  <c r="D12" i="7" s="1"/>
  <c r="Q10" i="7"/>
  <c r="K39" i="7" s="1"/>
  <c r="K40" i="7" s="1"/>
  <c r="K41" i="7" s="1"/>
  <c r="Q20" i="7"/>
  <c r="Q35" i="7"/>
  <c r="K11" i="7"/>
  <c r="I11" i="7" s="1"/>
  <c r="K10" i="6"/>
  <c r="Q9" i="6"/>
  <c r="E35" i="6"/>
  <c r="K35" i="6"/>
  <c r="I35" i="6" s="1"/>
  <c r="Q35" i="6"/>
  <c r="O35" i="6" s="1"/>
  <c r="Q20" i="6"/>
  <c r="Q39" i="6" s="1"/>
  <c r="Q35" i="5"/>
  <c r="K10" i="5"/>
  <c r="I10" i="5" s="1"/>
  <c r="Q9" i="5"/>
  <c r="Q20" i="5"/>
  <c r="E9" i="5"/>
  <c r="D11" i="5" s="1"/>
  <c r="K20" i="5"/>
  <c r="K39" i="5" s="1"/>
  <c r="E35" i="5"/>
  <c r="E39" i="5" s="1"/>
  <c r="J12" i="6"/>
  <c r="I10" i="6"/>
  <c r="J37" i="6"/>
  <c r="K39" i="6"/>
  <c r="P22" i="6"/>
  <c r="O20" i="6"/>
  <c r="C35" i="7"/>
  <c r="E39" i="7"/>
  <c r="P11" i="6"/>
  <c r="O9" i="6"/>
  <c r="C35" i="6"/>
  <c r="D37" i="6"/>
  <c r="E39" i="6"/>
  <c r="O35" i="7"/>
  <c r="P11" i="5"/>
  <c r="O9" i="5"/>
  <c r="P22" i="5"/>
  <c r="O20" i="5"/>
  <c r="J12" i="5"/>
  <c r="J22" i="6"/>
  <c r="I20" i="6"/>
  <c r="I20" i="5"/>
  <c r="O35" i="5"/>
  <c r="Q39" i="5"/>
  <c r="P37" i="5"/>
  <c r="C10" i="7"/>
  <c r="O10" i="7"/>
  <c r="P12" i="7"/>
  <c r="O20" i="7"/>
  <c r="P22" i="7"/>
  <c r="J37" i="5"/>
  <c r="I35" i="7"/>
  <c r="I20" i="7"/>
  <c r="J37" i="7"/>
  <c r="D11" i="6"/>
  <c r="I35" i="5"/>
  <c r="J24" i="2"/>
  <c r="J31" i="2"/>
  <c r="P22" i="3"/>
  <c r="O20" i="3"/>
  <c r="Q44" i="3"/>
  <c r="O40" i="3"/>
  <c r="D43" i="1"/>
  <c r="E45" i="1"/>
  <c r="C41" i="1"/>
  <c r="C9" i="2"/>
  <c r="D11" i="2"/>
  <c r="D31" i="2"/>
  <c r="D24" i="2"/>
  <c r="P31" i="2"/>
  <c r="P24" i="2"/>
  <c r="D31" i="1"/>
  <c r="D24" i="1"/>
  <c r="P43" i="2"/>
  <c r="O41" i="2"/>
  <c r="Q45" i="2"/>
  <c r="I40" i="3"/>
  <c r="K44" i="3"/>
  <c r="J42" i="3"/>
  <c r="O41" i="1"/>
  <c r="Q45" i="1"/>
  <c r="P43" i="1"/>
  <c r="C10" i="3"/>
  <c r="D12" i="3"/>
  <c r="J12" i="2"/>
  <c r="I10" i="2"/>
  <c r="I11" i="3"/>
  <c r="J13" i="3"/>
  <c r="J12" i="1"/>
  <c r="I10" i="1"/>
  <c r="J31" i="1"/>
  <c r="J24" i="1"/>
  <c r="I41" i="1"/>
  <c r="K45" i="1"/>
  <c r="J43" i="1"/>
  <c r="P22" i="2"/>
  <c r="O20" i="2"/>
  <c r="E45" i="2"/>
  <c r="C41" i="2"/>
  <c r="D43" i="2"/>
  <c r="J22" i="1"/>
  <c r="I20" i="1"/>
  <c r="P12" i="3"/>
  <c r="O10" i="3"/>
  <c r="D11" i="1"/>
  <c r="C9" i="1"/>
  <c r="O9" i="1"/>
  <c r="P11" i="1"/>
  <c r="P22" i="1"/>
  <c r="O20" i="1"/>
  <c r="O9" i="2"/>
  <c r="P11" i="2"/>
  <c r="I20" i="2"/>
  <c r="J22" i="2"/>
  <c r="K45" i="2"/>
  <c r="I41" i="2"/>
  <c r="J43" i="2"/>
  <c r="J22" i="3"/>
  <c r="I20" i="3"/>
  <c r="C40" i="3"/>
  <c r="E44" i="3"/>
  <c r="Q39" i="7" l="1"/>
  <c r="J13" i="7"/>
  <c r="P37" i="6"/>
  <c r="J22" i="5"/>
  <c r="D37" i="5"/>
  <c r="C35" i="5"/>
  <c r="C9" i="5"/>
  <c r="E40" i="7"/>
  <c r="E41" i="7" s="1"/>
  <c r="Q40" i="6"/>
  <c r="Q41" i="6"/>
  <c r="Q40" i="7"/>
  <c r="Q41" i="7" s="1"/>
  <c r="E40" i="6"/>
  <c r="E41" i="6" s="1"/>
  <c r="K40" i="6"/>
  <c r="K41" i="6" s="1"/>
  <c r="Q40" i="5"/>
  <c r="Q41" i="5" s="1"/>
  <c r="E40" i="5"/>
  <c r="E41" i="5" s="1"/>
  <c r="K40" i="5"/>
  <c r="K41" i="5" s="1"/>
  <c r="K46" i="1"/>
  <c r="K47" i="1"/>
  <c r="K45" i="3"/>
  <c r="K46" i="3"/>
  <c r="E46" i="1"/>
  <c r="E47" i="1"/>
  <c r="K46" i="2"/>
  <c r="K47" i="2" s="1"/>
  <c r="Q45" i="3"/>
  <c r="Q46" i="3" s="1"/>
  <c r="Q46" i="2"/>
  <c r="Q47" i="2" s="1"/>
  <c r="E46" i="2"/>
  <c r="E47" i="2" s="1"/>
  <c r="E45" i="3"/>
  <c r="E46" i="3"/>
  <c r="Q46" i="1"/>
  <c r="Q47" i="1"/>
  <c r="B50" i="1" l="1"/>
  <c r="B53" i="1" s="1"/>
  <c r="B44" i="6"/>
  <c r="B47" i="6" s="1"/>
  <c r="B44" i="7"/>
  <c r="B47" i="7" s="1"/>
  <c r="B44" i="5"/>
  <c r="B47" i="5" s="1"/>
  <c r="B50" i="2"/>
  <c r="B53" i="2" s="1"/>
  <c r="B49" i="3"/>
  <c r="B52" i="3" s="1"/>
</calcChain>
</file>

<file path=xl/sharedStrings.xml><?xml version="1.0" encoding="utf-8"?>
<sst xmlns="http://schemas.openxmlformats.org/spreadsheetml/2006/main" count="973" uniqueCount="64">
  <si>
    <t>Section</t>
  </si>
  <si>
    <t>Thurs (1 break + 1 refresh)</t>
  </si>
  <si>
    <t>Qty</t>
  </si>
  <si>
    <t>Unit price</t>
  </si>
  <si>
    <t>Total costs</t>
  </si>
  <si>
    <t>Friday (2 break + 1 refresh)</t>
  </si>
  <si>
    <t>Saturday (1 break + 1 refresh)</t>
  </si>
  <si>
    <t>Breakfast</t>
  </si>
  <si>
    <t>Fair Trade Coffee - 100 Cup Urn</t>
  </si>
  <si>
    <t xml:space="preserve">Note Order Status turns green when the number of servings is within 10% of our maximum attendance. </t>
  </si>
  <si>
    <t xml:space="preserve">Pond Inlet </t>
  </si>
  <si>
    <t>Tea Service</t>
  </si>
  <si>
    <t xml:space="preserve">Plaza </t>
  </si>
  <si>
    <t>pond</t>
  </si>
  <si>
    <t>10:30am</t>
  </si>
  <si>
    <t>Lemon Infused Water (Serves 40)</t>
  </si>
  <si>
    <t>Fresh Fruit Platter - Serves 12</t>
  </si>
  <si>
    <t>Fresh Danish tray</t>
  </si>
  <si>
    <t>Danish tray -12</t>
  </si>
  <si>
    <t>Fresh Croissant tray - 12</t>
  </si>
  <si>
    <t>Muffin tray - 12</t>
  </si>
  <si>
    <t xml:space="preserve">Total servings </t>
  </si>
  <si>
    <t>Assuming each person takes one serving of each platter</t>
  </si>
  <si>
    <t>Total servings</t>
  </si>
  <si>
    <t>Assuming one pastry pp</t>
  </si>
  <si>
    <t>Per serving food</t>
  </si>
  <si>
    <t>Total break cost</t>
  </si>
  <si>
    <t xml:space="preserve">Total Servings </t>
  </si>
  <si>
    <t>Per serving cost</t>
  </si>
  <si>
    <t xml:space="preserve">Estimated attendence 25% </t>
  </si>
  <si>
    <t>Order Status</t>
  </si>
  <si>
    <t xml:space="preserve">Estimated attendence 100% </t>
  </si>
  <si>
    <t>Guestimated cost per paying attendee (this break)</t>
  </si>
  <si>
    <t>Refresher break</t>
  </si>
  <si>
    <t>NA</t>
  </si>
  <si>
    <t>Cheese Tray - Serves 12</t>
  </si>
  <si>
    <t>Cookie tray - 12</t>
  </si>
  <si>
    <t>Coffee Urn - 100 cups</t>
  </si>
  <si>
    <t>Fruit tray - 12</t>
  </si>
  <si>
    <t>Assuming one cookie pp</t>
  </si>
  <si>
    <t>Lunch</t>
  </si>
  <si>
    <t>Boxed Lunch</t>
  </si>
  <si>
    <t xml:space="preserve">Full Coffee Break </t>
  </si>
  <si>
    <t>Full Coffee Break</t>
  </si>
  <si>
    <t>plaza</t>
  </si>
  <si>
    <t>Pond</t>
  </si>
  <si>
    <t>5:00pm</t>
  </si>
  <si>
    <t>Vegetable Platter - Assuming 18 servings</t>
  </si>
  <si>
    <t>Cookie and Brownie Tray - Serves 12</t>
  </si>
  <si>
    <t>SUBTOTAL</t>
  </si>
  <si>
    <t>HST</t>
  </si>
  <si>
    <t>TOTAL</t>
  </si>
  <si>
    <t>GRAND TOTAL</t>
  </si>
  <si>
    <t>paying guests</t>
  </si>
  <si>
    <t>Total from tickets</t>
  </si>
  <si>
    <t>Overage</t>
  </si>
  <si>
    <t>Build your own</t>
  </si>
  <si>
    <t>Mission wrap platter (serves 12)</t>
  </si>
  <si>
    <t>Gormet sandwich platter (serves 12)</t>
  </si>
  <si>
    <t>Market greens salad - serves 12</t>
  </si>
  <si>
    <t>Fiestia black bean corn salad - serves 12</t>
  </si>
  <si>
    <t xml:space="preserve">Pasta Salad  (vegan friendly) </t>
  </si>
  <si>
    <t>Squash Bisque- serves 12</t>
  </si>
  <si>
    <t>Cans of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</si>
</sst>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8"/>
      <color theme="1"/>
      <name val="Aptos Narrow (Body)"/>
    </font>
    <font>
      <b/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5CEF0"/>
        <bgColor indexed="64"/>
      </patternFill>
    </fill>
    <fill>
      <patternFill patternType="solid">
        <fgColor rgb="FFAE9DF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64" fontId="1" fillId="0" borderId="1" xfId="0" applyNumberFormat="1" applyFont="1" applyBorder="1"/>
    <xf numFmtId="0" fontId="1" fillId="3" borderId="1" xfId="0" applyFont="1" applyFill="1" applyBorder="1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2" fillId="0" borderId="0" xfId="0" applyFont="1"/>
    <xf numFmtId="18" fontId="2" fillId="0" borderId="0" xfId="0" applyNumberFormat="1" applyFont="1"/>
    <xf numFmtId="0" fontId="1" fillId="0" borderId="0" xfId="0" applyFont="1"/>
    <xf numFmtId="0" fontId="3" fillId="4" borderId="3" xfId="0" applyFont="1" applyFill="1" applyBorder="1"/>
    <xf numFmtId="0" fontId="3" fillId="4" borderId="4" xfId="0" applyFont="1" applyFill="1" applyBorder="1"/>
    <xf numFmtId="164" fontId="4" fillId="4" borderId="4" xfId="0" applyNumberFormat="1" applyFont="1" applyFill="1" applyBorder="1" applyAlignment="1">
      <alignment horizontal="center" wrapText="1"/>
    </xf>
    <xf numFmtId="164" fontId="5" fillId="4" borderId="5" xfId="0" applyNumberFormat="1" applyFont="1" applyFill="1" applyBorder="1" applyAlignment="1">
      <alignment horizontal="center" wrapText="1"/>
    </xf>
    <xf numFmtId="164" fontId="3" fillId="4" borderId="4" xfId="0" applyNumberFormat="1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0" fontId="0" fillId="5" borderId="0" xfId="0" applyFill="1" applyAlignment="1">
      <alignment horizontal="right"/>
    </xf>
    <xf numFmtId="164" fontId="0" fillId="5" borderId="0" xfId="0" applyNumberFormat="1" applyFill="1"/>
    <xf numFmtId="0" fontId="0" fillId="5" borderId="0" xfId="0" applyFill="1"/>
    <xf numFmtId="164" fontId="0" fillId="0" borderId="0" xfId="0" applyNumberFormat="1" applyAlignment="1">
      <alignment horizontal="center" vertical="center"/>
    </xf>
    <xf numFmtId="0" fontId="3" fillId="6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1" fillId="8" borderId="0" xfId="0" applyFont="1" applyFill="1"/>
    <xf numFmtId="0" fontId="0" fillId="8" borderId="0" xfId="0" applyFill="1"/>
    <xf numFmtId="164" fontId="0" fillId="8" borderId="0" xfId="0" applyNumberFormat="1" applyFill="1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0" fontId="1" fillId="4" borderId="3" xfId="0" applyFont="1" applyFill="1" applyBorder="1"/>
    <xf numFmtId="0" fontId="1" fillId="4" borderId="4" xfId="0" applyFont="1" applyFill="1" applyBorder="1"/>
    <xf numFmtId="0" fontId="1" fillId="0" borderId="6" xfId="0" applyFont="1" applyBorder="1"/>
    <xf numFmtId="0" fontId="0" fillId="0" borderId="6" xfId="0" applyBorder="1"/>
    <xf numFmtId="164" fontId="0" fillId="0" borderId="6" xfId="0" applyNumberFormat="1" applyBorder="1"/>
    <xf numFmtId="0" fontId="0" fillId="3" borderId="6" xfId="0" applyFill="1" applyBorder="1"/>
    <xf numFmtId="0" fontId="1" fillId="9" borderId="7" xfId="0" applyFont="1" applyFill="1" applyBorder="1"/>
    <xf numFmtId="164" fontId="0" fillId="9" borderId="8" xfId="0" applyNumberFormat="1" applyFill="1" applyBorder="1"/>
    <xf numFmtId="0" fontId="0" fillId="9" borderId="0" xfId="0" applyFill="1"/>
    <xf numFmtId="0" fontId="1" fillId="9" borderId="0" xfId="0" applyFont="1" applyFill="1" applyAlignment="1">
      <alignment wrapText="1"/>
    </xf>
    <xf numFmtId="164" fontId="1" fillId="9" borderId="0" xfId="0" applyNumberFormat="1" applyFont="1" applyFill="1"/>
    <xf numFmtId="0" fontId="1" fillId="0" borderId="0" xfId="0" applyFont="1" applyAlignment="1">
      <alignment wrapText="1"/>
    </xf>
    <xf numFmtId="164" fontId="3" fillId="0" borderId="0" xfId="0" applyNumberFormat="1" applyFont="1"/>
    <xf numFmtId="16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wrapText="1"/>
    </xf>
    <xf numFmtId="164" fontId="5" fillId="4" borderId="5" xfId="0" applyNumberFormat="1" applyFont="1" applyFill="1" applyBorder="1" applyAlignment="1">
      <alignment horizontal="center" wrapText="1"/>
    </xf>
    <xf numFmtId="164" fontId="3" fillId="4" borderId="4" xfId="0" applyNumberFormat="1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wrapText="1"/>
    </xf>
    <xf numFmtId="0" fontId="0" fillId="9" borderId="0" xfId="0" applyFill="1" applyAlignment="1">
      <alignment horizontal="center" vertical="center" wrapText="1"/>
    </xf>
  </cellXfs>
  <cellStyles count="1">
    <cellStyle name="Normal" xfId="0" builtinId="0"/>
  </cellStyles>
  <dxfs count="182"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F5E7-F1C8-6941-B939-CEA02096EA54}">
  <dimension ref="A1:U47"/>
  <sheetViews>
    <sheetView zoomScale="125" zoomScaleNormal="100" workbookViewId="0">
      <selection activeCell="A24" sqref="A24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7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47" t="s">
        <v>9</v>
      </c>
      <c r="S2" s="47"/>
      <c r="T2" s="47"/>
      <c r="U2" s="47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4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:K4" si="1">I3*J3</f>
        <v>15.45</v>
      </c>
      <c r="M3" s="8" t="s">
        <v>13</v>
      </c>
      <c r="N3" t="s">
        <v>11</v>
      </c>
      <c r="O3">
        <v>1</v>
      </c>
      <c r="P3" s="6">
        <v>15.45</v>
      </c>
      <c r="Q3" s="6">
        <f t="shared" ref="Q3:Q4" si="2">O3*P3</f>
        <v>15.45</v>
      </c>
      <c r="R3" s="48"/>
      <c r="S3" s="48"/>
      <c r="T3" s="48"/>
      <c r="U3" s="48"/>
    </row>
    <row r="4" spans="1:21">
      <c r="A4" s="8" t="s">
        <v>14</v>
      </c>
      <c r="B4" t="s">
        <v>15</v>
      </c>
      <c r="C4">
        <v>2</v>
      </c>
      <c r="D4" s="6">
        <v>37.5</v>
      </c>
      <c r="E4" s="6">
        <f t="shared" si="0"/>
        <v>75</v>
      </c>
      <c r="G4" s="9">
        <v>0.36458333333333331</v>
      </c>
      <c r="H4" t="s">
        <v>15</v>
      </c>
      <c r="I4">
        <v>1</v>
      </c>
      <c r="J4" s="6">
        <v>37.5</v>
      </c>
      <c r="K4" s="6">
        <f t="shared" si="1"/>
        <v>37.5</v>
      </c>
      <c r="M4" s="9">
        <v>0.36458333333333331</v>
      </c>
      <c r="N4" t="s">
        <v>15</v>
      </c>
      <c r="O4">
        <v>1</v>
      </c>
      <c r="P4" s="6">
        <v>37.5</v>
      </c>
      <c r="Q4" s="6">
        <f t="shared" si="2"/>
        <v>37.5</v>
      </c>
      <c r="R4" s="48"/>
      <c r="S4" s="48"/>
      <c r="T4" s="48"/>
      <c r="U4" s="48"/>
    </row>
    <row r="5" spans="1:21">
      <c r="B5" t="s">
        <v>16</v>
      </c>
      <c r="C5">
        <v>7</v>
      </c>
      <c r="D5" s="6">
        <v>36</v>
      </c>
      <c r="E5" s="6">
        <f>C5*D5</f>
        <v>252</v>
      </c>
      <c r="H5" t="s">
        <v>16</v>
      </c>
      <c r="I5">
        <v>7</v>
      </c>
      <c r="J5" s="6">
        <v>36</v>
      </c>
      <c r="K5" s="6">
        <f>I5*J5</f>
        <v>252</v>
      </c>
      <c r="N5" t="s">
        <v>16</v>
      </c>
      <c r="O5">
        <v>7</v>
      </c>
      <c r="P5" s="6">
        <v>36</v>
      </c>
      <c r="Q5" s="6">
        <f>O5*P5</f>
        <v>252</v>
      </c>
      <c r="R5" s="48"/>
      <c r="S5" s="48"/>
      <c r="T5" s="48"/>
      <c r="U5" s="48"/>
    </row>
    <row r="6" spans="1:21">
      <c r="B6" t="s">
        <v>17</v>
      </c>
      <c r="C6">
        <v>4</v>
      </c>
      <c r="D6" s="6">
        <v>36</v>
      </c>
      <c r="E6" s="6">
        <f>C6*D6</f>
        <v>144</v>
      </c>
      <c r="H6" t="s">
        <v>18</v>
      </c>
      <c r="I6">
        <v>4</v>
      </c>
      <c r="J6" s="6">
        <v>36</v>
      </c>
      <c r="K6" s="6">
        <f>I6*J6</f>
        <v>144</v>
      </c>
      <c r="N6" t="s">
        <v>19</v>
      </c>
      <c r="O6">
        <v>4</v>
      </c>
      <c r="P6" s="6">
        <v>36</v>
      </c>
      <c r="Q6" s="6">
        <f>O6*P6</f>
        <v>144</v>
      </c>
      <c r="R6" s="48"/>
      <c r="S6" s="48"/>
      <c r="T6" s="48"/>
      <c r="U6" s="48"/>
    </row>
    <row r="7" spans="1:21" ht="15.95" thickBot="1">
      <c r="B7" t="s">
        <v>19</v>
      </c>
      <c r="C7">
        <v>4</v>
      </c>
      <c r="D7" s="6">
        <v>36</v>
      </c>
      <c r="E7" s="6">
        <f>C7*D7</f>
        <v>144</v>
      </c>
      <c r="H7" t="s">
        <v>20</v>
      </c>
      <c r="I7">
        <v>4</v>
      </c>
      <c r="J7" s="6">
        <v>36</v>
      </c>
      <c r="K7" s="6">
        <f>I7*J7</f>
        <v>144</v>
      </c>
      <c r="N7" t="s">
        <v>20</v>
      </c>
      <c r="O7">
        <v>4</v>
      </c>
      <c r="P7" s="6">
        <v>36</v>
      </c>
      <c r="Q7" s="6">
        <f>O7*P7</f>
        <v>144</v>
      </c>
      <c r="R7" s="48"/>
      <c r="S7" s="48"/>
      <c r="T7" s="48"/>
      <c r="U7" s="48"/>
    </row>
    <row r="8" spans="1:21" ht="27.95" customHeight="1" thickBot="1">
      <c r="B8" s="11" t="s">
        <v>21</v>
      </c>
      <c r="C8" s="12">
        <f>12*C5</f>
        <v>84</v>
      </c>
      <c r="D8" s="13" t="s">
        <v>22</v>
      </c>
      <c r="E8" s="14"/>
      <c r="N8" s="11" t="s">
        <v>23</v>
      </c>
      <c r="O8" s="12">
        <f>12*O5</f>
        <v>84</v>
      </c>
      <c r="P8" s="15" t="s">
        <v>24</v>
      </c>
      <c r="Q8" s="16"/>
      <c r="R8" s="48"/>
      <c r="S8" s="48"/>
      <c r="T8" s="48"/>
      <c r="U8" s="48"/>
    </row>
    <row r="9" spans="1:21" ht="15.95" customHeight="1" thickBot="1">
      <c r="B9" s="17" t="s">
        <v>25</v>
      </c>
      <c r="C9" s="18">
        <f>E9/C8</f>
        <v>7.5690476190476188</v>
      </c>
      <c r="D9" s="18" t="s">
        <v>26</v>
      </c>
      <c r="E9" s="18">
        <f>SUM(E2:E6)</f>
        <v>635.79999999999995</v>
      </c>
      <c r="H9" s="11" t="s">
        <v>27</v>
      </c>
      <c r="I9" s="12">
        <f>12*I5</f>
        <v>84</v>
      </c>
      <c r="J9" s="15" t="s">
        <v>24</v>
      </c>
      <c r="K9" s="16"/>
      <c r="N9" s="17" t="s">
        <v>28</v>
      </c>
      <c r="O9" s="18">
        <f>Q9/O8</f>
        <v>10.614880952380952</v>
      </c>
      <c r="P9" s="18" t="s">
        <v>26</v>
      </c>
      <c r="Q9" s="18">
        <f>SUM(Q2:Q7)</f>
        <v>891.65</v>
      </c>
    </row>
    <row r="10" spans="1:21">
      <c r="B10" s="19" t="s">
        <v>29</v>
      </c>
      <c r="C10" s="19">
        <v>85</v>
      </c>
      <c r="D10" s="46" t="s">
        <v>30</v>
      </c>
      <c r="E10" s="46"/>
      <c r="H10" s="17" t="s">
        <v>28</v>
      </c>
      <c r="I10" s="18">
        <f>K10/I9</f>
        <v>10.614880952380952</v>
      </c>
      <c r="J10" s="18" t="s">
        <v>26</v>
      </c>
      <c r="K10" s="18">
        <f>SUM(K2:K8)</f>
        <v>891.65</v>
      </c>
      <c r="N10" s="19" t="s">
        <v>31</v>
      </c>
      <c r="O10" s="19">
        <v>85</v>
      </c>
      <c r="P10" s="20" t="s">
        <v>30</v>
      </c>
      <c r="Q10" s="20"/>
    </row>
    <row r="11" spans="1:21">
      <c r="B11" s="21" t="s">
        <v>32</v>
      </c>
      <c r="C11" s="21"/>
      <c r="D11" s="54">
        <f>E9/42</f>
        <v>15.138095238095238</v>
      </c>
      <c r="E11" s="54"/>
      <c r="H11" s="19" t="s">
        <v>31</v>
      </c>
      <c r="I11" s="19">
        <v>85</v>
      </c>
      <c r="J11" s="20" t="s">
        <v>30</v>
      </c>
      <c r="K11" s="20"/>
      <c r="N11" s="53" t="s">
        <v>32</v>
      </c>
      <c r="O11" s="53"/>
      <c r="P11" s="54">
        <f>Q9/42</f>
        <v>21.229761904761904</v>
      </c>
      <c r="Q11" s="54"/>
    </row>
    <row r="12" spans="1:21">
      <c r="H12" s="53" t="s">
        <v>32</v>
      </c>
      <c r="I12" s="53"/>
      <c r="J12" s="54">
        <f>K10/42</f>
        <v>21.229761904761904</v>
      </c>
      <c r="K12" s="54"/>
    </row>
    <row r="14" spans="1:21" ht="15" customHeight="1">
      <c r="N14" s="23"/>
      <c r="O14" s="23"/>
      <c r="P14" s="24"/>
      <c r="Q14" s="24"/>
    </row>
    <row r="15" spans="1:21" ht="32.1">
      <c r="A15" s="25" t="s">
        <v>33</v>
      </c>
      <c r="B15" s="55" t="s">
        <v>34</v>
      </c>
      <c r="C15" s="55"/>
      <c r="D15" s="55"/>
      <c r="E15" s="55"/>
      <c r="G15" s="25" t="s">
        <v>33</v>
      </c>
      <c r="H15" t="s">
        <v>35</v>
      </c>
      <c r="I15">
        <v>2</v>
      </c>
      <c r="J15" s="6">
        <v>98</v>
      </c>
      <c r="K15" s="6">
        <f t="shared" ref="K15:K18" si="3">I15*J15</f>
        <v>196</v>
      </c>
      <c r="M15" s="25" t="s">
        <v>33</v>
      </c>
      <c r="N15" t="s">
        <v>35</v>
      </c>
      <c r="O15">
        <v>2</v>
      </c>
      <c r="P15" s="6">
        <v>98</v>
      </c>
      <c r="Q15" s="6">
        <f t="shared" ref="Q15:Q18" si="4">O15*P15</f>
        <v>196</v>
      </c>
    </row>
    <row r="16" spans="1:21" ht="15.95">
      <c r="B16" s="55"/>
      <c r="C16" s="55"/>
      <c r="D16" s="55"/>
      <c r="E16" s="55"/>
      <c r="G16" s="26" t="s">
        <v>13</v>
      </c>
      <c r="H16" t="s">
        <v>36</v>
      </c>
      <c r="I16">
        <v>7</v>
      </c>
      <c r="J16" s="6">
        <v>18.95</v>
      </c>
      <c r="K16" s="6">
        <f t="shared" si="3"/>
        <v>132.65</v>
      </c>
      <c r="M16" s="26" t="s">
        <v>13</v>
      </c>
      <c r="N16" t="s">
        <v>37</v>
      </c>
      <c r="O16">
        <v>1</v>
      </c>
      <c r="P16" s="6">
        <v>149.35</v>
      </c>
      <c r="Q16" s="6">
        <f t="shared" si="4"/>
        <v>149.35</v>
      </c>
    </row>
    <row r="17" spans="1:17">
      <c r="B17" s="55"/>
      <c r="C17" s="55"/>
      <c r="D17" s="55"/>
      <c r="E17" s="55"/>
      <c r="H17" t="s">
        <v>37</v>
      </c>
      <c r="I17">
        <v>1</v>
      </c>
      <c r="J17" s="6">
        <v>149.35</v>
      </c>
      <c r="K17" s="6">
        <f t="shared" si="3"/>
        <v>149.35</v>
      </c>
      <c r="N17" t="s">
        <v>36</v>
      </c>
      <c r="O17">
        <v>7</v>
      </c>
      <c r="P17" s="6">
        <v>18.95</v>
      </c>
      <c r="Q17" s="6">
        <f t="shared" si="4"/>
        <v>132.65</v>
      </c>
    </row>
    <row r="18" spans="1:17" ht="15.95" thickBot="1">
      <c r="B18" s="55"/>
      <c r="C18" s="55"/>
      <c r="D18" s="55"/>
      <c r="E18" s="55"/>
      <c r="H18" t="s">
        <v>38</v>
      </c>
      <c r="I18">
        <v>7</v>
      </c>
      <c r="J18" s="6">
        <v>36</v>
      </c>
      <c r="K18" s="6">
        <f t="shared" si="3"/>
        <v>252</v>
      </c>
      <c r="N18" t="s">
        <v>38</v>
      </c>
      <c r="O18">
        <v>7</v>
      </c>
      <c r="P18" s="6">
        <v>36</v>
      </c>
      <c r="Q18" s="6">
        <f t="shared" si="4"/>
        <v>252</v>
      </c>
    </row>
    <row r="19" spans="1:17" ht="15.95" thickBot="1">
      <c r="B19" s="55"/>
      <c r="C19" s="55"/>
      <c r="D19" s="55"/>
      <c r="E19" s="55"/>
      <c r="H19" s="11" t="s">
        <v>23</v>
      </c>
      <c r="I19" s="12">
        <f>12*I16</f>
        <v>84</v>
      </c>
      <c r="J19" s="51" t="s">
        <v>39</v>
      </c>
      <c r="K19" s="52"/>
      <c r="N19" s="11" t="s">
        <v>27</v>
      </c>
      <c r="O19" s="12">
        <f>12*O17</f>
        <v>84</v>
      </c>
      <c r="P19" s="15"/>
      <c r="Q19" s="16"/>
    </row>
    <row r="20" spans="1:17">
      <c r="B20" s="55"/>
      <c r="C20" s="55"/>
      <c r="D20" s="55"/>
      <c r="E20" s="55"/>
      <c r="H20" s="17" t="s">
        <v>28</v>
      </c>
      <c r="I20" s="18">
        <f>K20/I19</f>
        <v>8.6904761904761898</v>
      </c>
      <c r="J20" s="18" t="s">
        <v>26</v>
      </c>
      <c r="K20" s="18">
        <f>SUM(K15:K18)</f>
        <v>730</v>
      </c>
      <c r="N20" s="17" t="s">
        <v>28</v>
      </c>
      <c r="O20" s="18">
        <f>Q20/O19</f>
        <v>6.3571428571428568</v>
      </c>
      <c r="P20" s="18" t="s">
        <v>26</v>
      </c>
      <c r="Q20" s="18">
        <f>SUM(Q16:Q18)</f>
        <v>534</v>
      </c>
    </row>
    <row r="21" spans="1:17">
      <c r="B21" s="55"/>
      <c r="C21" s="55"/>
      <c r="D21" s="55"/>
      <c r="E21" s="55"/>
      <c r="H21" s="19" t="s">
        <v>31</v>
      </c>
      <c r="I21" s="19">
        <v>85</v>
      </c>
      <c r="J21" s="46" t="s">
        <v>30</v>
      </c>
      <c r="K21" s="46"/>
      <c r="N21" s="19" t="s">
        <v>31</v>
      </c>
      <c r="O21" s="19">
        <v>85</v>
      </c>
      <c r="P21" s="46" t="s">
        <v>30</v>
      </c>
      <c r="Q21" s="46"/>
    </row>
    <row r="22" spans="1:17">
      <c r="B22" s="27"/>
      <c r="C22" s="27"/>
      <c r="D22" s="27"/>
      <c r="E22" s="27"/>
      <c r="H22" s="53" t="s">
        <v>32</v>
      </c>
      <c r="I22" s="53"/>
      <c r="J22" s="54">
        <f>K20/42</f>
        <v>17.38095238095238</v>
      </c>
      <c r="K22" s="54"/>
      <c r="N22" s="53" t="s">
        <v>32</v>
      </c>
      <c r="O22" s="53"/>
      <c r="P22" s="54">
        <f>Q20/42</f>
        <v>12.714285714285714</v>
      </c>
      <c r="Q22" s="54"/>
    </row>
    <row r="24" spans="1:17" s="29" customFormat="1">
      <c r="A24" s="28" t="s">
        <v>40</v>
      </c>
      <c r="B24" s="29" t="s">
        <v>41</v>
      </c>
      <c r="C24" s="29">
        <v>85</v>
      </c>
      <c r="D24" s="30">
        <v>16.489999999999998</v>
      </c>
      <c r="E24" s="30">
        <f>D24*C24</f>
        <v>1401.6499999999999</v>
      </c>
      <c r="F24" s="7"/>
      <c r="G24" s="28" t="s">
        <v>40</v>
      </c>
      <c r="H24" s="29" t="s">
        <v>41</v>
      </c>
      <c r="I24" s="29">
        <v>85</v>
      </c>
      <c r="J24" s="30">
        <v>16.489999999999998</v>
      </c>
      <c r="K24" s="30">
        <f>J24*I24</f>
        <v>1401.6499999999999</v>
      </c>
      <c r="L24" s="7"/>
      <c r="M24" s="28" t="s">
        <v>40</v>
      </c>
      <c r="N24" s="29" t="s">
        <v>41</v>
      </c>
      <c r="O24" s="29">
        <v>70</v>
      </c>
      <c r="P24" s="30">
        <v>16.489999999999998</v>
      </c>
      <c r="Q24" s="30">
        <f>P24*O24</f>
        <v>1154.3</v>
      </c>
    </row>
    <row r="25" spans="1:17">
      <c r="A25" s="10" t="s">
        <v>13</v>
      </c>
      <c r="F25"/>
      <c r="G25" s="10" t="s">
        <v>13</v>
      </c>
      <c r="L25"/>
      <c r="M25" s="10" t="s">
        <v>13</v>
      </c>
    </row>
    <row r="26" spans="1:17">
      <c r="D26"/>
      <c r="E26"/>
      <c r="F26"/>
      <c r="L26"/>
      <c r="P26"/>
      <c r="Q26"/>
    </row>
    <row r="27" spans="1:17" ht="32.1">
      <c r="A27" s="25" t="s">
        <v>42</v>
      </c>
      <c r="B27" t="s">
        <v>8</v>
      </c>
      <c r="C27">
        <v>2</v>
      </c>
      <c r="D27" s="6">
        <v>149.35</v>
      </c>
      <c r="E27" s="6">
        <f>C27*D27</f>
        <v>298.7</v>
      </c>
      <c r="G27" s="25" t="s">
        <v>42</v>
      </c>
      <c r="H27" t="s">
        <v>8</v>
      </c>
      <c r="I27">
        <v>2</v>
      </c>
      <c r="J27" s="6">
        <v>149.35</v>
      </c>
      <c r="K27" s="6">
        <f>I27*J27</f>
        <v>298.7</v>
      </c>
      <c r="M27" s="25" t="s">
        <v>43</v>
      </c>
      <c r="N27" t="s">
        <v>8</v>
      </c>
      <c r="O27">
        <v>2</v>
      </c>
      <c r="P27" s="6">
        <v>149.35</v>
      </c>
      <c r="Q27" s="6">
        <f>O27*P27</f>
        <v>298.7</v>
      </c>
    </row>
    <row r="28" spans="1:17">
      <c r="A28" t="s">
        <v>10</v>
      </c>
      <c r="B28" t="s">
        <v>11</v>
      </c>
      <c r="C28">
        <v>1</v>
      </c>
      <c r="D28" s="6">
        <v>15.45</v>
      </c>
      <c r="E28" s="6">
        <f t="shared" ref="E28:E33" si="5">C28*D28</f>
        <v>15.45</v>
      </c>
      <c r="G28" s="31" t="s">
        <v>44</v>
      </c>
      <c r="H28" t="s">
        <v>11</v>
      </c>
      <c r="I28">
        <v>1</v>
      </c>
      <c r="J28" s="6">
        <v>15.45</v>
      </c>
      <c r="K28" s="6">
        <f t="shared" ref="K28:K31" si="6">I28*J28</f>
        <v>15.45</v>
      </c>
      <c r="M28" s="8" t="s">
        <v>45</v>
      </c>
      <c r="N28" t="s">
        <v>11</v>
      </c>
      <c r="O28">
        <v>1</v>
      </c>
      <c r="P28" s="6">
        <v>15.45</v>
      </c>
      <c r="Q28" s="6">
        <f t="shared" ref="Q28:Q33" si="7">O28*P28</f>
        <v>15.45</v>
      </c>
    </row>
    <row r="29" spans="1:17">
      <c r="A29" s="8" t="s">
        <v>46</v>
      </c>
      <c r="B29" t="s">
        <v>15</v>
      </c>
      <c r="C29">
        <v>2</v>
      </c>
      <c r="D29" s="6">
        <v>37.5</v>
      </c>
      <c r="E29" s="6">
        <f t="shared" si="5"/>
        <v>75</v>
      </c>
      <c r="G29" s="32">
        <v>0.625</v>
      </c>
      <c r="H29" t="s">
        <v>15</v>
      </c>
      <c r="I29">
        <v>2</v>
      </c>
      <c r="J29" s="6">
        <v>37.5</v>
      </c>
      <c r="K29" s="6">
        <f t="shared" si="6"/>
        <v>75</v>
      </c>
      <c r="M29" s="8" t="s">
        <v>46</v>
      </c>
      <c r="N29" t="s">
        <v>15</v>
      </c>
      <c r="O29">
        <v>2</v>
      </c>
      <c r="P29" s="6">
        <v>37.5</v>
      </c>
      <c r="Q29" s="6">
        <f t="shared" si="7"/>
        <v>75</v>
      </c>
    </row>
    <row r="30" spans="1:17">
      <c r="B30" t="s">
        <v>35</v>
      </c>
      <c r="C30">
        <v>2</v>
      </c>
      <c r="D30" s="6">
        <v>98</v>
      </c>
      <c r="E30" s="6">
        <f t="shared" si="5"/>
        <v>196</v>
      </c>
      <c r="H30" t="s">
        <v>35</v>
      </c>
      <c r="I30">
        <v>2</v>
      </c>
      <c r="J30" s="6">
        <v>98</v>
      </c>
      <c r="K30" s="6">
        <f t="shared" si="6"/>
        <v>196</v>
      </c>
      <c r="M30" s="8"/>
      <c r="N30" t="s">
        <v>35</v>
      </c>
      <c r="O30">
        <v>2</v>
      </c>
      <c r="P30" s="6">
        <v>98</v>
      </c>
      <c r="Q30" s="6">
        <f t="shared" si="7"/>
        <v>196</v>
      </c>
    </row>
    <row r="31" spans="1:17">
      <c r="B31" t="s">
        <v>47</v>
      </c>
      <c r="C31">
        <v>4</v>
      </c>
      <c r="D31" s="6">
        <v>54</v>
      </c>
      <c r="E31" s="6">
        <f t="shared" si="5"/>
        <v>216</v>
      </c>
      <c r="H31" t="s">
        <v>47</v>
      </c>
      <c r="I31">
        <v>4</v>
      </c>
      <c r="J31" s="6">
        <v>54</v>
      </c>
      <c r="K31" s="6">
        <f t="shared" si="6"/>
        <v>216</v>
      </c>
      <c r="N31" t="s">
        <v>47</v>
      </c>
      <c r="O31">
        <v>4</v>
      </c>
      <c r="P31" s="6">
        <v>54</v>
      </c>
      <c r="Q31" s="6">
        <f t="shared" si="7"/>
        <v>216</v>
      </c>
    </row>
    <row r="32" spans="1:17">
      <c r="B32" t="s">
        <v>16</v>
      </c>
      <c r="C32">
        <v>7</v>
      </c>
      <c r="D32" s="6">
        <v>36</v>
      </c>
      <c r="E32" s="6">
        <f t="shared" si="5"/>
        <v>252</v>
      </c>
      <c r="H32" t="s">
        <v>16</v>
      </c>
      <c r="I32">
        <v>7</v>
      </c>
      <c r="J32" s="6">
        <v>36</v>
      </c>
      <c r="K32" s="6">
        <f>I32*J32</f>
        <v>252</v>
      </c>
      <c r="N32" t="s">
        <v>16</v>
      </c>
      <c r="O32">
        <v>7</v>
      </c>
      <c r="P32" s="6">
        <v>36</v>
      </c>
      <c r="Q32" s="6">
        <f t="shared" si="7"/>
        <v>252</v>
      </c>
    </row>
    <row r="33" spans="1:21" ht="15.95" thickBot="1">
      <c r="B33" t="s">
        <v>48</v>
      </c>
      <c r="C33">
        <v>7</v>
      </c>
      <c r="D33" s="6">
        <v>18.95</v>
      </c>
      <c r="E33" s="6">
        <f t="shared" si="5"/>
        <v>132.65</v>
      </c>
      <c r="H33" t="s">
        <v>48</v>
      </c>
      <c r="I33">
        <v>7</v>
      </c>
      <c r="J33" s="6">
        <v>18.95</v>
      </c>
      <c r="K33" s="6">
        <f>I33*J33</f>
        <v>132.65</v>
      </c>
      <c r="N33" t="s">
        <v>48</v>
      </c>
      <c r="O33">
        <v>7</v>
      </c>
      <c r="P33" s="6">
        <v>18.95</v>
      </c>
      <c r="Q33" s="6">
        <f t="shared" si="7"/>
        <v>132.65</v>
      </c>
    </row>
    <row r="34" spans="1:21" ht="29.1" customHeight="1" thickBot="1">
      <c r="B34" s="33" t="s">
        <v>21</v>
      </c>
      <c r="C34" s="34">
        <f>12*C33</f>
        <v>84</v>
      </c>
      <c r="D34" s="49" t="s">
        <v>22</v>
      </c>
      <c r="E34" s="50"/>
      <c r="H34" s="33" t="s">
        <v>21</v>
      </c>
      <c r="I34" s="34">
        <f>12*I33</f>
        <v>84</v>
      </c>
      <c r="J34" s="49" t="s">
        <v>22</v>
      </c>
      <c r="K34" s="56"/>
      <c r="N34" s="33" t="s">
        <v>21</v>
      </c>
      <c r="O34" s="34">
        <f>O33*12</f>
        <v>84</v>
      </c>
      <c r="P34" s="49" t="s">
        <v>22</v>
      </c>
      <c r="Q34" s="56"/>
    </row>
    <row r="35" spans="1:21" ht="29.1" customHeight="1">
      <c r="B35" s="17" t="s">
        <v>28</v>
      </c>
      <c r="C35" s="18">
        <f>E35/C34</f>
        <v>14.116666666666669</v>
      </c>
      <c r="D35" s="18" t="s">
        <v>26</v>
      </c>
      <c r="E35" s="18">
        <f>SUM(E27:E33)</f>
        <v>1185.8000000000002</v>
      </c>
      <c r="H35" s="17" t="s">
        <v>28</v>
      </c>
      <c r="I35" s="18">
        <f>K35/I34</f>
        <v>14.116666666666669</v>
      </c>
      <c r="J35" s="18" t="s">
        <v>26</v>
      </c>
      <c r="K35" s="18">
        <f>SUM(K27:K33)</f>
        <v>1185.8000000000002</v>
      </c>
      <c r="N35" s="17" t="s">
        <v>28</v>
      </c>
      <c r="O35" s="18">
        <f>Q35/O34</f>
        <v>14.116666666666669</v>
      </c>
      <c r="P35" s="18" t="s">
        <v>26</v>
      </c>
      <c r="Q35" s="18">
        <f>SUM(Q27:Q33)</f>
        <v>1185.8000000000002</v>
      </c>
    </row>
    <row r="36" spans="1:21" ht="18" customHeight="1">
      <c r="B36" s="19" t="s">
        <v>31</v>
      </c>
      <c r="C36" s="19">
        <v>85</v>
      </c>
      <c r="D36" s="46" t="s">
        <v>30</v>
      </c>
      <c r="E36" s="46"/>
      <c r="H36" s="19" t="s">
        <v>31</v>
      </c>
      <c r="I36" s="19">
        <v>85</v>
      </c>
      <c r="J36" s="46" t="s">
        <v>30</v>
      </c>
      <c r="K36" s="46"/>
      <c r="N36" s="19" t="s">
        <v>31</v>
      </c>
      <c r="O36" s="19">
        <v>85</v>
      </c>
      <c r="P36" s="46" t="s">
        <v>30</v>
      </c>
      <c r="Q36" s="46"/>
    </row>
    <row r="37" spans="1:21" ht="17.100000000000001" customHeight="1">
      <c r="B37" s="53" t="s">
        <v>32</v>
      </c>
      <c r="C37" s="53"/>
      <c r="D37" s="54">
        <f>E35/42</f>
        <v>28.233333333333338</v>
      </c>
      <c r="E37" s="54"/>
      <c r="H37" s="53" t="s">
        <v>32</v>
      </c>
      <c r="I37" s="53"/>
      <c r="J37" s="54">
        <f>K35/42</f>
        <v>28.233333333333338</v>
      </c>
      <c r="K37" s="54"/>
      <c r="N37" s="53" t="s">
        <v>32</v>
      </c>
      <c r="O37" s="53"/>
      <c r="P37" s="54">
        <f>Q35/42</f>
        <v>28.233333333333338</v>
      </c>
      <c r="Q37" s="54"/>
    </row>
    <row r="38" spans="1:21" ht="15" customHeight="1">
      <c r="A38" s="35"/>
      <c r="B38" s="36"/>
      <c r="C38" s="36"/>
      <c r="D38" s="37"/>
      <c r="E38" s="37"/>
      <c r="F38" s="38"/>
      <c r="G38" s="35"/>
      <c r="L38" s="38"/>
      <c r="M38" s="35"/>
    </row>
    <row r="39" spans="1:21" ht="15" customHeight="1">
      <c r="A39" s="10" t="s">
        <v>49</v>
      </c>
      <c r="E39" s="6">
        <f>SUM(E35,E9,E24)</f>
        <v>3223.25</v>
      </c>
      <c r="K39" s="6">
        <f>SUM(K35,Q9,K24,K20)</f>
        <v>4209.1000000000004</v>
      </c>
      <c r="Q39" s="6">
        <f>SUM(Q35,Q24,Q20,K10)</f>
        <v>3765.7500000000005</v>
      </c>
    </row>
    <row r="40" spans="1:21" ht="15" customHeight="1">
      <c r="A40" s="10" t="s">
        <v>50</v>
      </c>
      <c r="E40" s="6">
        <f>E39*0.13</f>
        <v>419.02250000000004</v>
      </c>
      <c r="K40" s="6">
        <f>K39*0.13</f>
        <v>547.18300000000011</v>
      </c>
      <c r="Q40" s="6">
        <f>Q39*0.13</f>
        <v>489.54750000000007</v>
      </c>
    </row>
    <row r="41" spans="1:21" ht="15" customHeight="1">
      <c r="A41" s="10" t="s">
        <v>51</v>
      </c>
      <c r="E41" s="6">
        <f>E39+E40</f>
        <v>3642.2725</v>
      </c>
      <c r="K41" s="6">
        <f>K39+K40</f>
        <v>4756.2830000000004</v>
      </c>
      <c r="Q41" s="6">
        <f>Q39+Q40</f>
        <v>4255.2975000000006</v>
      </c>
    </row>
    <row r="43" spans="1:21" s="6" customFormat="1" ht="15" customHeight="1" thickBot="1">
      <c r="A43" s="10"/>
      <c r="B43"/>
      <c r="C43"/>
      <c r="F43" s="7"/>
      <c r="G43" s="10"/>
      <c r="H43"/>
      <c r="I43"/>
      <c r="L43" s="7"/>
      <c r="M43" s="10"/>
      <c r="N43"/>
      <c r="O43"/>
      <c r="R43"/>
      <c r="S43"/>
      <c r="T43"/>
      <c r="U43"/>
    </row>
    <row r="44" spans="1:21" s="6" customFormat="1" ht="15" customHeight="1" thickBot="1">
      <c r="A44" s="39" t="s">
        <v>52</v>
      </c>
      <c r="B44" s="40">
        <f>SUM(E41,K41,Q41)</f>
        <v>12653.853000000001</v>
      </c>
      <c r="C44" s="57"/>
      <c r="D44" s="57"/>
      <c r="F44" s="7"/>
      <c r="G44" s="10"/>
      <c r="H44"/>
      <c r="I44"/>
      <c r="L44" s="7"/>
      <c r="M44" s="10"/>
      <c r="N44"/>
      <c r="O44"/>
      <c r="R44"/>
      <c r="S44"/>
      <c r="T44"/>
      <c r="U44"/>
    </row>
    <row r="45" spans="1:21" s="6" customFormat="1" ht="15" customHeight="1">
      <c r="A45" s="41" t="s">
        <v>53</v>
      </c>
      <c r="B45" s="41">
        <v>43</v>
      </c>
      <c r="C45" s="57"/>
      <c r="D45" s="57"/>
      <c r="F45" s="7"/>
      <c r="G45" s="10"/>
      <c r="H45"/>
      <c r="I45"/>
      <c r="L45" s="7"/>
      <c r="M45" s="10"/>
      <c r="N45"/>
      <c r="O45"/>
      <c r="R45"/>
      <c r="S45"/>
      <c r="T45"/>
      <c r="U45"/>
    </row>
    <row r="46" spans="1:21" s="6" customFormat="1" ht="27.95" customHeight="1">
      <c r="A46" s="42" t="s">
        <v>54</v>
      </c>
      <c r="B46" s="43">
        <f>B45*160</f>
        <v>6880</v>
      </c>
      <c r="C46" s="57"/>
      <c r="D46" s="57"/>
      <c r="F46" s="7"/>
      <c r="G46" s="10"/>
      <c r="H46"/>
      <c r="I46"/>
      <c r="L46" s="7"/>
      <c r="M46" s="10"/>
      <c r="N46"/>
      <c r="O46"/>
      <c r="R46"/>
      <c r="S46"/>
      <c r="T46"/>
      <c r="U46"/>
    </row>
    <row r="47" spans="1:21" s="6" customFormat="1" ht="30" customHeight="1">
      <c r="A47" s="44" t="s">
        <v>55</v>
      </c>
      <c r="B47" s="45">
        <f>B44-B46</f>
        <v>5773.853000000001</v>
      </c>
      <c r="C47"/>
      <c r="F47" s="7"/>
      <c r="G47" s="10"/>
      <c r="H47"/>
      <c r="I47"/>
      <c r="L47" s="7"/>
      <c r="M47" s="10"/>
      <c r="N47"/>
      <c r="O47"/>
      <c r="R47"/>
      <c r="S47"/>
      <c r="T47"/>
      <c r="U47"/>
    </row>
  </sheetData>
  <mergeCells count="28">
    <mergeCell ref="C44:D46"/>
    <mergeCell ref="B37:C37"/>
    <mergeCell ref="D37:E37"/>
    <mergeCell ref="H37:I37"/>
    <mergeCell ref="J37:K37"/>
    <mergeCell ref="N37:O37"/>
    <mergeCell ref="P37:Q37"/>
    <mergeCell ref="D34:E34"/>
    <mergeCell ref="J34:K34"/>
    <mergeCell ref="P34:Q34"/>
    <mergeCell ref="D36:E36"/>
    <mergeCell ref="J36:K36"/>
    <mergeCell ref="P36:Q36"/>
    <mergeCell ref="B15:E21"/>
    <mergeCell ref="J19:K19"/>
    <mergeCell ref="J21:K21"/>
    <mergeCell ref="P21:Q21"/>
    <mergeCell ref="H22:I22"/>
    <mergeCell ref="J22:K22"/>
    <mergeCell ref="N22:O22"/>
    <mergeCell ref="P22:Q22"/>
    <mergeCell ref="H12:I12"/>
    <mergeCell ref="J12:K12"/>
    <mergeCell ref="R2:U8"/>
    <mergeCell ref="D10:E10"/>
    <mergeCell ref="D11:E11"/>
    <mergeCell ref="N11:O11"/>
    <mergeCell ref="P11:Q11"/>
  </mergeCells>
  <conditionalFormatting sqref="B47">
    <cfRule type="expression" dxfId="181" priority="18">
      <formula>$B$47&gt;0</formula>
    </cfRule>
  </conditionalFormatting>
  <conditionalFormatting sqref="D10">
    <cfRule type="expression" dxfId="180" priority="21" stopIfTrue="1">
      <formula>$C$8&gt;=($C$10+-($C$10*0.1))</formula>
    </cfRule>
    <cfRule type="expression" dxfId="179" priority="22">
      <formula>$C$10&gt;$C$8</formula>
    </cfRule>
  </conditionalFormatting>
  <conditionalFormatting sqref="D36:E36">
    <cfRule type="expression" dxfId="178" priority="6" stopIfTrue="1">
      <formula>C34&gt;=(C36+-(C36*0.1))</formula>
    </cfRule>
    <cfRule type="expression" dxfId="177" priority="7">
      <formula>C36&gt;C34</formula>
    </cfRule>
  </conditionalFormatting>
  <conditionalFormatting sqref="J36">
    <cfRule type="expression" dxfId="176" priority="8" stopIfTrue="1">
      <formula>I34&gt;=(I36+-(I36*0.1))</formula>
    </cfRule>
    <cfRule type="expression" dxfId="175" priority="9">
      <formula>I36&gt;I34</formula>
    </cfRule>
  </conditionalFormatting>
  <conditionalFormatting sqref="J11:K11">
    <cfRule type="expression" dxfId="174" priority="25" stopIfTrue="1">
      <formula>$I9&gt;=($I11+-($I11*0.1))</formula>
    </cfRule>
    <cfRule type="expression" dxfId="173" priority="26">
      <formula>$I11&gt;$I9</formula>
    </cfRule>
  </conditionalFormatting>
  <conditionalFormatting sqref="J21:K21">
    <cfRule type="expression" dxfId="172" priority="14" stopIfTrue="1">
      <formula>I19&gt;=(I21+-(I21*0.1))</formula>
    </cfRule>
    <cfRule type="expression" dxfId="171" priority="15">
      <formula>I21&gt;I19</formula>
    </cfRule>
  </conditionalFormatting>
  <conditionalFormatting sqref="K16:K18">
    <cfRule type="top10" dxfId="170" priority="17" stopIfTrue="1" rank="1"/>
  </conditionalFormatting>
  <conditionalFormatting sqref="K27:K29 K31:K33">
    <cfRule type="top10" dxfId="169" priority="23" stopIfTrue="1" rank="1"/>
  </conditionalFormatting>
  <conditionalFormatting sqref="P21">
    <cfRule type="expression" dxfId="168" priority="12" stopIfTrue="1">
      <formula>O19&gt;=(O21+-(O21*0.1))</formula>
    </cfRule>
    <cfRule type="expression" dxfId="167" priority="13">
      <formula>O21&gt;O19</formula>
    </cfRule>
  </conditionalFormatting>
  <conditionalFormatting sqref="P36">
    <cfRule type="expression" dxfId="166" priority="10" stopIfTrue="1">
      <formula>O34&gt;=(O36+-(O36*0.1))</formula>
    </cfRule>
    <cfRule type="expression" dxfId="165" priority="11">
      <formula>O36&gt;O34</formula>
    </cfRule>
  </conditionalFormatting>
  <conditionalFormatting sqref="P10:Q10">
    <cfRule type="expression" dxfId="164" priority="19" stopIfTrue="1">
      <formula>$O$8&gt;=($O$10+-($O$10*0.1))</formula>
    </cfRule>
    <cfRule type="expression" dxfId="163" priority="20">
      <formula>$O$10&gt;$O$8</formula>
    </cfRule>
  </conditionalFormatting>
  <conditionalFormatting sqref="Q16:Q18">
    <cfRule type="top10" dxfId="162" priority="16" stopIfTrue="1" rank="1"/>
    <cfRule type="top10" dxfId="161" priority="24" rank="1"/>
  </conditionalFormatting>
  <conditionalFormatting sqref="E27:E29 E31:E33">
    <cfRule type="top10" dxfId="160" priority="27" stopIfTrue="1" rank="1"/>
  </conditionalFormatting>
  <conditionalFormatting sqref="Q27:Q29 Q31:Q33">
    <cfRule type="top10" dxfId="159" priority="28" stopIfTrue="1" rank="1"/>
  </conditionalFormatting>
  <conditionalFormatting sqref="E30">
    <cfRule type="top10" dxfId="158" priority="5" stopIfTrue="1" rank="1"/>
  </conditionalFormatting>
  <conditionalFormatting sqref="K30">
    <cfRule type="top10" dxfId="157" priority="4" stopIfTrue="1" rank="1"/>
  </conditionalFormatting>
  <conditionalFormatting sqref="Q30">
    <cfRule type="top10" dxfId="156" priority="3" stopIfTrue="1" rank="1"/>
  </conditionalFormatting>
  <conditionalFormatting sqref="K15">
    <cfRule type="top10" dxfId="155" priority="2" stopIfTrue="1" rank="1"/>
  </conditionalFormatting>
  <conditionalFormatting sqref="Q15">
    <cfRule type="top10" dxfId="154" priority="1" stopIfTrue="1" rank="1"/>
  </conditionalFormatting>
  <conditionalFormatting sqref="Q2:Q7">
    <cfRule type="top10" dxfId="153" priority="29" rank="1"/>
    <cfRule type="top10" dxfId="152" priority="30" stopIfTrue="1" rank="1"/>
  </conditionalFormatting>
  <conditionalFormatting sqref="K2:K8">
    <cfRule type="top10" dxfId="151" priority="31" stopIfTrue="1" rank="1"/>
  </conditionalFormatting>
  <conditionalFormatting sqref="E2:E7">
    <cfRule type="top10" dxfId="150" priority="32" stopIfTrue="1" rank="1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8989-1FFE-FC4F-816D-3AA3CB4489F3}">
  <dimension ref="A1:U47"/>
  <sheetViews>
    <sheetView topLeftCell="A12" zoomScale="125" zoomScaleNormal="100" workbookViewId="0">
      <selection activeCell="A24" sqref="A24:XFD25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7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47" t="s">
        <v>9</v>
      </c>
      <c r="S2" s="47"/>
      <c r="T2" s="47"/>
      <c r="U2" s="47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4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:K4" si="1">I3*J3</f>
        <v>15.45</v>
      </c>
      <c r="M3" s="8" t="s">
        <v>13</v>
      </c>
      <c r="N3" t="s">
        <v>11</v>
      </c>
      <c r="O3">
        <v>1</v>
      </c>
      <c r="P3" s="6">
        <v>15.45</v>
      </c>
      <c r="Q3" s="6">
        <f t="shared" ref="Q3:Q4" si="2">O3*P3</f>
        <v>15.45</v>
      </c>
      <c r="R3" s="48"/>
      <c r="S3" s="48"/>
      <c r="T3" s="48"/>
      <c r="U3" s="48"/>
    </row>
    <row r="4" spans="1:21">
      <c r="A4" s="8" t="s">
        <v>14</v>
      </c>
      <c r="B4" t="s">
        <v>15</v>
      </c>
      <c r="C4">
        <v>2</v>
      </c>
      <c r="D4" s="6">
        <v>37.5</v>
      </c>
      <c r="E4" s="6">
        <f t="shared" si="0"/>
        <v>75</v>
      </c>
      <c r="G4" s="9">
        <v>0.36458333333333331</v>
      </c>
      <c r="H4" t="s">
        <v>15</v>
      </c>
      <c r="I4">
        <v>1</v>
      </c>
      <c r="J4" s="6">
        <v>37.5</v>
      </c>
      <c r="K4" s="6">
        <f t="shared" si="1"/>
        <v>37.5</v>
      </c>
      <c r="M4" s="9">
        <v>0.36458333333333331</v>
      </c>
      <c r="N4" t="s">
        <v>15</v>
      </c>
      <c r="O4">
        <v>1</v>
      </c>
      <c r="P4" s="6">
        <v>37.5</v>
      </c>
      <c r="Q4" s="6">
        <f t="shared" si="2"/>
        <v>37.5</v>
      </c>
      <c r="R4" s="48"/>
      <c r="S4" s="48"/>
      <c r="T4" s="48"/>
      <c r="U4" s="48"/>
    </row>
    <row r="5" spans="1:21">
      <c r="B5" t="s">
        <v>16</v>
      </c>
      <c r="C5">
        <v>7</v>
      </c>
      <c r="D5" s="6">
        <v>36</v>
      </c>
      <c r="E5" s="6">
        <f>C5*D5</f>
        <v>252</v>
      </c>
      <c r="H5" t="s">
        <v>16</v>
      </c>
      <c r="I5">
        <v>7</v>
      </c>
      <c r="J5" s="6">
        <v>36</v>
      </c>
      <c r="K5" s="6">
        <f>I5*J5</f>
        <v>252</v>
      </c>
      <c r="N5" t="s">
        <v>16</v>
      </c>
      <c r="O5">
        <v>7</v>
      </c>
      <c r="P5" s="6">
        <v>36</v>
      </c>
      <c r="Q5" s="6">
        <f>O5*P5</f>
        <v>252</v>
      </c>
      <c r="R5" s="48"/>
      <c r="S5" s="48"/>
      <c r="T5" s="48"/>
      <c r="U5" s="48"/>
    </row>
    <row r="6" spans="1:21">
      <c r="B6" t="s">
        <v>17</v>
      </c>
      <c r="C6">
        <v>4</v>
      </c>
      <c r="D6" s="6">
        <v>36</v>
      </c>
      <c r="E6" s="6">
        <f>C6*D6</f>
        <v>144</v>
      </c>
      <c r="H6" t="s">
        <v>18</v>
      </c>
      <c r="I6">
        <v>4</v>
      </c>
      <c r="J6" s="6">
        <v>36</v>
      </c>
      <c r="K6" s="6">
        <f>I6*J6</f>
        <v>144</v>
      </c>
      <c r="N6" t="s">
        <v>19</v>
      </c>
      <c r="O6">
        <v>4</v>
      </c>
      <c r="P6" s="6">
        <v>36</v>
      </c>
      <c r="Q6" s="6">
        <f>O6*P6</f>
        <v>144</v>
      </c>
      <c r="R6" s="48"/>
      <c r="S6" s="48"/>
      <c r="T6" s="48"/>
      <c r="U6" s="48"/>
    </row>
    <row r="7" spans="1:21" ht="15.95" thickBot="1">
      <c r="B7" t="s">
        <v>19</v>
      </c>
      <c r="C7">
        <v>4</v>
      </c>
      <c r="D7" s="6">
        <v>36</v>
      </c>
      <c r="E7" s="6">
        <f>C7*D7</f>
        <v>144</v>
      </c>
      <c r="H7" t="s">
        <v>20</v>
      </c>
      <c r="I7">
        <v>4</v>
      </c>
      <c r="J7" s="6">
        <v>36</v>
      </c>
      <c r="K7" s="6">
        <f>I7*J7</f>
        <v>144</v>
      </c>
      <c r="N7" t="s">
        <v>20</v>
      </c>
      <c r="O7">
        <v>4</v>
      </c>
      <c r="P7" s="6">
        <v>36</v>
      </c>
      <c r="Q7" s="6">
        <f>O7*P7</f>
        <v>144</v>
      </c>
      <c r="R7" s="48"/>
      <c r="S7" s="48"/>
      <c r="T7" s="48"/>
      <c r="U7" s="48"/>
    </row>
    <row r="8" spans="1:21" ht="27.95" customHeight="1" thickBot="1">
      <c r="B8" s="11" t="s">
        <v>21</v>
      </c>
      <c r="C8" s="12">
        <f>12*C5</f>
        <v>84</v>
      </c>
      <c r="D8" s="13" t="s">
        <v>22</v>
      </c>
      <c r="E8" s="14"/>
      <c r="N8" s="11" t="s">
        <v>23</v>
      </c>
      <c r="O8" s="12">
        <f>12*O5</f>
        <v>84</v>
      </c>
      <c r="P8" s="15" t="s">
        <v>24</v>
      </c>
      <c r="Q8" s="16"/>
      <c r="R8" s="48"/>
      <c r="S8" s="48"/>
      <c r="T8" s="48"/>
      <c r="U8" s="48"/>
    </row>
    <row r="9" spans="1:21" ht="15.95" customHeight="1" thickBot="1">
      <c r="B9" s="17" t="s">
        <v>25</v>
      </c>
      <c r="C9" s="18">
        <f>E9/C8</f>
        <v>7.5690476190476188</v>
      </c>
      <c r="D9" s="18" t="s">
        <v>26</v>
      </c>
      <c r="E9" s="18">
        <f>SUM(E2:E6)</f>
        <v>635.79999999999995</v>
      </c>
      <c r="H9" s="11" t="s">
        <v>27</v>
      </c>
      <c r="I9" s="12">
        <f>12*I5</f>
        <v>84</v>
      </c>
      <c r="J9" s="15" t="s">
        <v>24</v>
      </c>
      <c r="K9" s="16"/>
      <c r="N9" s="17" t="s">
        <v>28</v>
      </c>
      <c r="O9" s="18">
        <f>Q9/O8</f>
        <v>10.614880952380952</v>
      </c>
      <c r="P9" s="18" t="s">
        <v>26</v>
      </c>
      <c r="Q9" s="18">
        <f>SUM(Q2:Q7)</f>
        <v>891.65</v>
      </c>
    </row>
    <row r="10" spans="1:21">
      <c r="B10" s="19" t="s">
        <v>29</v>
      </c>
      <c r="C10" s="19">
        <v>85</v>
      </c>
      <c r="D10" s="46" t="s">
        <v>30</v>
      </c>
      <c r="E10" s="46"/>
      <c r="H10" s="17" t="s">
        <v>28</v>
      </c>
      <c r="I10" s="18">
        <f>K10/I9</f>
        <v>10.614880952380952</v>
      </c>
      <c r="J10" s="18" t="s">
        <v>26</v>
      </c>
      <c r="K10" s="18">
        <f>SUM(K2:K8)</f>
        <v>891.65</v>
      </c>
      <c r="N10" s="19" t="s">
        <v>31</v>
      </c>
      <c r="O10" s="19">
        <v>85</v>
      </c>
      <c r="P10" s="20" t="s">
        <v>30</v>
      </c>
      <c r="Q10" s="20"/>
    </row>
    <row r="11" spans="1:21">
      <c r="B11" s="21" t="s">
        <v>32</v>
      </c>
      <c r="C11" s="21"/>
      <c r="D11" s="54">
        <f>E9/42</f>
        <v>15.138095238095238</v>
      </c>
      <c r="E11" s="54"/>
      <c r="H11" s="19" t="s">
        <v>31</v>
      </c>
      <c r="I11" s="19">
        <v>85</v>
      </c>
      <c r="J11" s="20" t="s">
        <v>30</v>
      </c>
      <c r="K11" s="20"/>
      <c r="N11" s="53" t="s">
        <v>32</v>
      </c>
      <c r="O11" s="53"/>
      <c r="P11" s="54">
        <f>Q9/42</f>
        <v>21.229761904761904</v>
      </c>
      <c r="Q11" s="54"/>
    </row>
    <row r="12" spans="1:21">
      <c r="H12" s="53" t="s">
        <v>32</v>
      </c>
      <c r="I12" s="53"/>
      <c r="J12" s="54">
        <f>K10/42</f>
        <v>21.229761904761904</v>
      </c>
      <c r="K12" s="54"/>
    </row>
    <row r="14" spans="1:21" ht="15" customHeight="1">
      <c r="N14" s="23"/>
      <c r="O14" s="23"/>
      <c r="P14" s="24"/>
      <c r="Q14" s="24"/>
    </row>
    <row r="15" spans="1:21" ht="32.1">
      <c r="A15" s="25" t="s">
        <v>33</v>
      </c>
      <c r="B15" s="55" t="s">
        <v>34</v>
      </c>
      <c r="C15" s="55"/>
      <c r="D15" s="55"/>
      <c r="E15" s="55"/>
      <c r="G15" s="25" t="s">
        <v>33</v>
      </c>
      <c r="H15" t="s">
        <v>35</v>
      </c>
      <c r="I15">
        <v>2</v>
      </c>
      <c r="J15" s="6">
        <v>98</v>
      </c>
      <c r="K15" s="6">
        <f t="shared" ref="K15:K18" si="3">I15*J15</f>
        <v>196</v>
      </c>
      <c r="M15" s="25" t="s">
        <v>33</v>
      </c>
      <c r="N15" t="s">
        <v>35</v>
      </c>
      <c r="O15">
        <v>2</v>
      </c>
      <c r="P15" s="6">
        <v>98</v>
      </c>
      <c r="Q15" s="6">
        <f t="shared" ref="Q15:Q18" si="4">O15*P15</f>
        <v>196</v>
      </c>
    </row>
    <row r="16" spans="1:21" ht="15.95">
      <c r="B16" s="55"/>
      <c r="C16" s="55"/>
      <c r="D16" s="55"/>
      <c r="E16" s="55"/>
      <c r="G16" s="26" t="s">
        <v>13</v>
      </c>
      <c r="H16" t="s">
        <v>36</v>
      </c>
      <c r="I16">
        <v>7</v>
      </c>
      <c r="J16" s="6">
        <v>18.95</v>
      </c>
      <c r="K16" s="6">
        <f t="shared" si="3"/>
        <v>132.65</v>
      </c>
      <c r="M16" s="26" t="s">
        <v>13</v>
      </c>
      <c r="N16" t="s">
        <v>37</v>
      </c>
      <c r="O16">
        <v>1</v>
      </c>
      <c r="P16" s="6">
        <v>149.35</v>
      </c>
      <c r="Q16" s="6">
        <f t="shared" si="4"/>
        <v>149.35</v>
      </c>
    </row>
    <row r="17" spans="1:17">
      <c r="B17" s="55"/>
      <c r="C17" s="55"/>
      <c r="D17" s="55"/>
      <c r="E17" s="55"/>
      <c r="H17" t="s">
        <v>37</v>
      </c>
      <c r="I17">
        <v>1</v>
      </c>
      <c r="J17" s="6">
        <v>149.35</v>
      </c>
      <c r="K17" s="6">
        <f t="shared" si="3"/>
        <v>149.35</v>
      </c>
      <c r="N17" t="s">
        <v>36</v>
      </c>
      <c r="O17">
        <v>7</v>
      </c>
      <c r="P17" s="6">
        <v>18.95</v>
      </c>
      <c r="Q17" s="6">
        <f t="shared" si="4"/>
        <v>132.65</v>
      </c>
    </row>
    <row r="18" spans="1:17" ht="15.95" thickBot="1">
      <c r="B18" s="55"/>
      <c r="C18" s="55"/>
      <c r="D18" s="55"/>
      <c r="E18" s="55"/>
      <c r="H18" t="s">
        <v>38</v>
      </c>
      <c r="I18">
        <v>7</v>
      </c>
      <c r="J18" s="6">
        <v>36</v>
      </c>
      <c r="K18" s="6">
        <f t="shared" si="3"/>
        <v>252</v>
      </c>
      <c r="N18" t="s">
        <v>38</v>
      </c>
      <c r="O18">
        <v>7</v>
      </c>
      <c r="P18" s="6">
        <v>36</v>
      </c>
      <c r="Q18" s="6">
        <f t="shared" si="4"/>
        <v>252</v>
      </c>
    </row>
    <row r="19" spans="1:17" ht="15.95" thickBot="1">
      <c r="B19" s="55"/>
      <c r="C19" s="55"/>
      <c r="D19" s="55"/>
      <c r="E19" s="55"/>
      <c r="H19" s="11" t="s">
        <v>23</v>
      </c>
      <c r="I19" s="12">
        <f>12*I16</f>
        <v>84</v>
      </c>
      <c r="J19" s="51" t="s">
        <v>39</v>
      </c>
      <c r="K19" s="52"/>
      <c r="N19" s="11" t="s">
        <v>27</v>
      </c>
      <c r="O19" s="12">
        <f>12*O17</f>
        <v>84</v>
      </c>
      <c r="P19" s="15"/>
      <c r="Q19" s="16"/>
    </row>
    <row r="20" spans="1:17">
      <c r="B20" s="55"/>
      <c r="C20" s="55"/>
      <c r="D20" s="55"/>
      <c r="E20" s="55"/>
      <c r="H20" s="17" t="s">
        <v>28</v>
      </c>
      <c r="I20" s="18">
        <f>K20/I19</f>
        <v>8.6904761904761898</v>
      </c>
      <c r="J20" s="18" t="s">
        <v>26</v>
      </c>
      <c r="K20" s="18">
        <f>SUM(K15:K18)</f>
        <v>730</v>
      </c>
      <c r="N20" s="17" t="s">
        <v>28</v>
      </c>
      <c r="O20" s="18">
        <f>Q20/O19</f>
        <v>6.3571428571428568</v>
      </c>
      <c r="P20" s="18" t="s">
        <v>26</v>
      </c>
      <c r="Q20" s="18">
        <f>SUM(Q16:Q18)</f>
        <v>534</v>
      </c>
    </row>
    <row r="21" spans="1:17">
      <c r="B21" s="55"/>
      <c r="C21" s="55"/>
      <c r="D21" s="55"/>
      <c r="E21" s="55"/>
      <c r="H21" s="19" t="s">
        <v>31</v>
      </c>
      <c r="I21" s="19">
        <v>85</v>
      </c>
      <c r="J21" s="46" t="s">
        <v>30</v>
      </c>
      <c r="K21" s="46"/>
      <c r="N21" s="19" t="s">
        <v>31</v>
      </c>
      <c r="O21" s="19">
        <v>85</v>
      </c>
      <c r="P21" s="46" t="s">
        <v>30</v>
      </c>
      <c r="Q21" s="46"/>
    </row>
    <row r="22" spans="1:17">
      <c r="B22" s="27"/>
      <c r="C22" s="27"/>
      <c r="D22" s="27"/>
      <c r="E22" s="27"/>
      <c r="H22" s="53" t="s">
        <v>32</v>
      </c>
      <c r="I22" s="53"/>
      <c r="J22" s="54">
        <f>K20/42</f>
        <v>17.38095238095238</v>
      </c>
      <c r="K22" s="54"/>
      <c r="N22" s="53" t="s">
        <v>32</v>
      </c>
      <c r="O22" s="53"/>
      <c r="P22" s="54">
        <f>Q20/42</f>
        <v>12.714285714285714</v>
      </c>
      <c r="Q22" s="54"/>
    </row>
    <row r="24" spans="1:17" s="29" customFormat="1">
      <c r="A24" s="28" t="s">
        <v>40</v>
      </c>
      <c r="B24" s="29" t="s">
        <v>41</v>
      </c>
      <c r="C24" s="29">
        <v>85</v>
      </c>
      <c r="D24" s="30">
        <v>16.489999999999998</v>
      </c>
      <c r="E24" s="30">
        <f>D24*C24</f>
        <v>1401.6499999999999</v>
      </c>
      <c r="F24" s="7"/>
      <c r="G24" s="28" t="s">
        <v>40</v>
      </c>
      <c r="H24" s="29" t="s">
        <v>41</v>
      </c>
      <c r="I24" s="29">
        <v>85</v>
      </c>
      <c r="J24" s="30">
        <v>16.489999999999998</v>
      </c>
      <c r="K24" s="30">
        <f>J24*I24</f>
        <v>1401.6499999999999</v>
      </c>
      <c r="L24" s="7"/>
      <c r="M24" s="28" t="s">
        <v>40</v>
      </c>
      <c r="N24" s="29" t="s">
        <v>41</v>
      </c>
      <c r="O24" s="29">
        <v>70</v>
      </c>
      <c r="P24" s="30">
        <v>16.489999999999998</v>
      </c>
      <c r="Q24" s="30">
        <f>P24*O24</f>
        <v>1154.3</v>
      </c>
    </row>
    <row r="25" spans="1:17">
      <c r="A25" s="10" t="s">
        <v>13</v>
      </c>
      <c r="F25"/>
      <c r="G25" s="10" t="s">
        <v>13</v>
      </c>
      <c r="L25"/>
      <c r="M25" s="10" t="s">
        <v>13</v>
      </c>
    </row>
    <row r="26" spans="1:17">
      <c r="D26"/>
      <c r="E26"/>
      <c r="F26"/>
      <c r="L26"/>
      <c r="P26"/>
      <c r="Q26"/>
    </row>
    <row r="27" spans="1:17" ht="32.1">
      <c r="A27" s="25" t="s">
        <v>42</v>
      </c>
      <c r="B27" t="s">
        <v>8</v>
      </c>
      <c r="C27">
        <v>2</v>
      </c>
      <c r="D27" s="6">
        <v>149.35</v>
      </c>
      <c r="E27" s="6">
        <f>C27*D27</f>
        <v>298.7</v>
      </c>
      <c r="G27" s="25" t="s">
        <v>42</v>
      </c>
      <c r="H27" t="s">
        <v>8</v>
      </c>
      <c r="I27">
        <v>2</v>
      </c>
      <c r="J27" s="6">
        <v>149.35</v>
      </c>
      <c r="K27" s="6">
        <f>I27*J27</f>
        <v>298.7</v>
      </c>
      <c r="M27" s="25" t="s">
        <v>43</v>
      </c>
      <c r="N27" t="s">
        <v>8</v>
      </c>
      <c r="O27">
        <v>2</v>
      </c>
      <c r="P27" s="6">
        <v>149.35</v>
      </c>
      <c r="Q27" s="6">
        <f>O27*P27</f>
        <v>298.7</v>
      </c>
    </row>
    <row r="28" spans="1:17">
      <c r="A28" t="s">
        <v>10</v>
      </c>
      <c r="B28" t="s">
        <v>11</v>
      </c>
      <c r="C28">
        <v>1</v>
      </c>
      <c r="D28" s="6">
        <v>15.45</v>
      </c>
      <c r="E28" s="6">
        <f t="shared" ref="E28:E33" si="5">C28*D28</f>
        <v>15.45</v>
      </c>
      <c r="G28" s="31" t="s">
        <v>44</v>
      </c>
      <c r="H28" t="s">
        <v>11</v>
      </c>
      <c r="I28">
        <v>1</v>
      </c>
      <c r="J28" s="6">
        <v>15.45</v>
      </c>
      <c r="K28" s="6">
        <f t="shared" ref="K28:K32" si="6">I28*J28</f>
        <v>15.45</v>
      </c>
      <c r="M28" s="8" t="s">
        <v>45</v>
      </c>
      <c r="N28" t="s">
        <v>11</v>
      </c>
      <c r="O28">
        <v>1</v>
      </c>
      <c r="P28" s="6">
        <v>15.45</v>
      </c>
      <c r="Q28" s="6">
        <f t="shared" ref="Q28:Q33" si="7">O28*P28</f>
        <v>15.45</v>
      </c>
    </row>
    <row r="29" spans="1:17">
      <c r="A29" s="8" t="s">
        <v>46</v>
      </c>
      <c r="B29" t="s">
        <v>15</v>
      </c>
      <c r="C29">
        <v>2</v>
      </c>
      <c r="D29" s="6">
        <v>37.5</v>
      </c>
      <c r="E29" s="6">
        <f t="shared" si="5"/>
        <v>75</v>
      </c>
      <c r="G29" s="32">
        <v>0.625</v>
      </c>
      <c r="H29" t="s">
        <v>15</v>
      </c>
      <c r="I29">
        <v>2</v>
      </c>
      <c r="J29" s="6">
        <v>37.5</v>
      </c>
      <c r="K29" s="6">
        <f t="shared" si="6"/>
        <v>75</v>
      </c>
      <c r="M29" s="8" t="s">
        <v>46</v>
      </c>
      <c r="N29" t="s">
        <v>15</v>
      </c>
      <c r="O29">
        <v>2</v>
      </c>
      <c r="P29" s="6">
        <v>37.5</v>
      </c>
      <c r="Q29" s="6">
        <f t="shared" si="7"/>
        <v>75</v>
      </c>
    </row>
    <row r="30" spans="1:17">
      <c r="M30" s="8"/>
    </row>
    <row r="31" spans="1:17">
      <c r="B31" t="s">
        <v>47</v>
      </c>
      <c r="C31">
        <v>4</v>
      </c>
      <c r="D31" s="6">
        <v>54</v>
      </c>
      <c r="E31" s="6">
        <f t="shared" si="5"/>
        <v>216</v>
      </c>
      <c r="H31" t="s">
        <v>47</v>
      </c>
      <c r="I31">
        <v>4</v>
      </c>
      <c r="J31" s="6">
        <v>54</v>
      </c>
      <c r="K31" s="6">
        <f t="shared" si="6"/>
        <v>216</v>
      </c>
      <c r="N31" t="s">
        <v>47</v>
      </c>
      <c r="O31">
        <v>4</v>
      </c>
      <c r="P31" s="6">
        <v>54</v>
      </c>
      <c r="Q31" s="6">
        <f t="shared" si="7"/>
        <v>216</v>
      </c>
    </row>
    <row r="32" spans="1:17">
      <c r="B32" t="s">
        <v>16</v>
      </c>
      <c r="C32">
        <v>5</v>
      </c>
      <c r="D32" s="6">
        <v>36</v>
      </c>
      <c r="E32" s="6">
        <f t="shared" si="5"/>
        <v>180</v>
      </c>
      <c r="H32" t="s">
        <v>16</v>
      </c>
      <c r="I32">
        <v>5</v>
      </c>
      <c r="J32" s="6">
        <v>36</v>
      </c>
      <c r="K32" s="6">
        <f t="shared" si="6"/>
        <v>180</v>
      </c>
      <c r="N32" t="s">
        <v>16</v>
      </c>
      <c r="O32">
        <v>5</v>
      </c>
      <c r="P32" s="6">
        <v>36</v>
      </c>
      <c r="Q32" s="6">
        <f t="shared" si="7"/>
        <v>180</v>
      </c>
    </row>
    <row r="33" spans="1:21" ht="15.95" thickBot="1">
      <c r="B33" t="s">
        <v>48</v>
      </c>
      <c r="C33">
        <v>7</v>
      </c>
      <c r="D33" s="6">
        <v>18.95</v>
      </c>
      <c r="E33" s="6">
        <f t="shared" si="5"/>
        <v>132.65</v>
      </c>
      <c r="H33" t="s">
        <v>48</v>
      </c>
      <c r="I33">
        <v>7</v>
      </c>
      <c r="J33" s="6">
        <v>18.95</v>
      </c>
      <c r="K33" s="6">
        <f>I33*J33</f>
        <v>132.65</v>
      </c>
      <c r="N33" t="s">
        <v>48</v>
      </c>
      <c r="O33">
        <v>7</v>
      </c>
      <c r="P33" s="6">
        <v>18.95</v>
      </c>
      <c r="Q33" s="6">
        <f t="shared" si="7"/>
        <v>132.65</v>
      </c>
    </row>
    <row r="34" spans="1:21" ht="29.1" customHeight="1" thickBot="1">
      <c r="B34" s="33" t="s">
        <v>21</v>
      </c>
      <c r="C34" s="34">
        <f>12*C33</f>
        <v>84</v>
      </c>
      <c r="D34" s="49" t="s">
        <v>22</v>
      </c>
      <c r="E34" s="50"/>
      <c r="H34" s="33" t="s">
        <v>21</v>
      </c>
      <c r="I34" s="34">
        <f>12*I33</f>
        <v>84</v>
      </c>
      <c r="J34" s="49" t="s">
        <v>22</v>
      </c>
      <c r="K34" s="56"/>
      <c r="N34" s="33" t="s">
        <v>21</v>
      </c>
      <c r="O34" s="34">
        <f>O33*12</f>
        <v>84</v>
      </c>
      <c r="P34" s="49" t="s">
        <v>22</v>
      </c>
      <c r="Q34" s="56"/>
    </row>
    <row r="35" spans="1:21" ht="29.1" customHeight="1">
      <c r="B35" s="17" t="s">
        <v>28</v>
      </c>
      <c r="C35" s="18">
        <f>E35/C34</f>
        <v>10.926190476190476</v>
      </c>
      <c r="D35" s="18" t="s">
        <v>26</v>
      </c>
      <c r="E35" s="18">
        <f>SUM(E27:E33)</f>
        <v>917.8</v>
      </c>
      <c r="H35" s="17" t="s">
        <v>28</v>
      </c>
      <c r="I35" s="18">
        <f>K35/I34</f>
        <v>10.926190476190476</v>
      </c>
      <c r="J35" s="18" t="s">
        <v>26</v>
      </c>
      <c r="K35" s="18">
        <f>SUM(K27:K33)</f>
        <v>917.8</v>
      </c>
      <c r="N35" s="17" t="s">
        <v>28</v>
      </c>
      <c r="O35" s="18">
        <f>Q35/O34</f>
        <v>10.926190476190476</v>
      </c>
      <c r="P35" s="18" t="s">
        <v>26</v>
      </c>
      <c r="Q35" s="18">
        <f>SUM(Q27:Q33)</f>
        <v>917.8</v>
      </c>
    </row>
    <row r="36" spans="1:21" ht="18" customHeight="1">
      <c r="B36" s="19" t="s">
        <v>31</v>
      </c>
      <c r="C36" s="19">
        <v>85</v>
      </c>
      <c r="D36" s="46" t="s">
        <v>30</v>
      </c>
      <c r="E36" s="46"/>
      <c r="H36" s="19" t="s">
        <v>31</v>
      </c>
      <c r="I36" s="19">
        <v>85</v>
      </c>
      <c r="J36" s="46" t="s">
        <v>30</v>
      </c>
      <c r="K36" s="46"/>
      <c r="N36" s="19" t="s">
        <v>31</v>
      </c>
      <c r="O36" s="19">
        <v>85</v>
      </c>
      <c r="P36" s="46" t="s">
        <v>30</v>
      </c>
      <c r="Q36" s="46"/>
    </row>
    <row r="37" spans="1:21" ht="17.100000000000001" customHeight="1">
      <c r="B37" s="53" t="s">
        <v>32</v>
      </c>
      <c r="C37" s="53"/>
      <c r="D37" s="54">
        <f>E35/42</f>
        <v>21.852380952380951</v>
      </c>
      <c r="E37" s="54"/>
      <c r="H37" s="53" t="s">
        <v>32</v>
      </c>
      <c r="I37" s="53"/>
      <c r="J37" s="54">
        <f>K35/42</f>
        <v>21.852380952380951</v>
      </c>
      <c r="K37" s="54"/>
      <c r="N37" s="53" t="s">
        <v>32</v>
      </c>
      <c r="O37" s="53"/>
      <c r="P37" s="54">
        <f>Q35/42</f>
        <v>21.852380952380951</v>
      </c>
      <c r="Q37" s="54"/>
    </row>
    <row r="38" spans="1:21" ht="15" customHeight="1">
      <c r="A38" s="35"/>
      <c r="B38" s="36"/>
      <c r="C38" s="36"/>
      <c r="D38" s="37"/>
      <c r="E38" s="37"/>
      <c r="F38" s="38"/>
      <c r="G38" s="35"/>
      <c r="L38" s="38"/>
      <c r="M38" s="35"/>
    </row>
    <row r="39" spans="1:21" ht="15" customHeight="1">
      <c r="A39" s="10" t="s">
        <v>49</v>
      </c>
      <c r="E39" s="6">
        <f>SUM(E35,E9,E24)</f>
        <v>2955.25</v>
      </c>
      <c r="K39" s="6">
        <f>SUM(K35,Q9,K24,K20)</f>
        <v>3941.0999999999995</v>
      </c>
      <c r="Q39" s="6">
        <f>SUM(Q35,Q24,Q20,K10)</f>
        <v>3497.75</v>
      </c>
    </row>
    <row r="40" spans="1:21" ht="15" customHeight="1">
      <c r="A40" s="10" t="s">
        <v>50</v>
      </c>
      <c r="E40" s="6">
        <f>E39*0.13</f>
        <v>384.1825</v>
      </c>
      <c r="K40" s="6">
        <f>K39*0.13</f>
        <v>512.34299999999996</v>
      </c>
      <c r="Q40" s="6">
        <f>Q39*0.13</f>
        <v>454.70750000000004</v>
      </c>
    </row>
    <row r="41" spans="1:21" ht="15" customHeight="1">
      <c r="A41" s="10" t="s">
        <v>51</v>
      </c>
      <c r="E41" s="6">
        <f>E39+E40</f>
        <v>3339.4324999999999</v>
      </c>
      <c r="K41" s="6">
        <f>K39+K40</f>
        <v>4453.4429999999993</v>
      </c>
      <c r="Q41" s="6">
        <f>Q39+Q40</f>
        <v>3952.4575</v>
      </c>
    </row>
    <row r="43" spans="1:21" s="6" customFormat="1" ht="15" customHeight="1" thickBot="1">
      <c r="A43" s="10"/>
      <c r="B43"/>
      <c r="C43"/>
      <c r="F43" s="7"/>
      <c r="G43" s="10"/>
      <c r="H43"/>
      <c r="I43"/>
      <c r="L43" s="7"/>
      <c r="M43" s="10"/>
      <c r="N43"/>
      <c r="O43"/>
      <c r="R43"/>
      <c r="S43"/>
      <c r="T43"/>
      <c r="U43"/>
    </row>
    <row r="44" spans="1:21" s="6" customFormat="1" ht="15" customHeight="1" thickBot="1">
      <c r="A44" s="39" t="s">
        <v>52</v>
      </c>
      <c r="B44" s="40">
        <f>SUM(E41,K41,Q41)</f>
        <v>11745.332999999999</v>
      </c>
      <c r="C44" s="57"/>
      <c r="D44" s="57"/>
      <c r="F44" s="7"/>
      <c r="G44" s="10"/>
      <c r="H44"/>
      <c r="I44"/>
      <c r="L44" s="7"/>
      <c r="M44" s="10"/>
      <c r="N44"/>
      <c r="O44"/>
      <c r="R44"/>
      <c r="S44"/>
      <c r="T44"/>
      <c r="U44"/>
    </row>
    <row r="45" spans="1:21" s="6" customFormat="1" ht="15" customHeight="1">
      <c r="A45" s="41" t="s">
        <v>53</v>
      </c>
      <c r="B45" s="41">
        <v>43</v>
      </c>
      <c r="C45" s="57"/>
      <c r="D45" s="57"/>
      <c r="F45" s="7"/>
      <c r="G45" s="10"/>
      <c r="H45"/>
      <c r="I45"/>
      <c r="L45" s="7"/>
      <c r="M45" s="10"/>
      <c r="N45"/>
      <c r="O45"/>
      <c r="R45"/>
      <c r="S45"/>
      <c r="T45"/>
      <c r="U45"/>
    </row>
    <row r="46" spans="1:21" s="6" customFormat="1" ht="27.95" customHeight="1">
      <c r="A46" s="42" t="s">
        <v>54</v>
      </c>
      <c r="B46" s="43">
        <f>B45*160</f>
        <v>6880</v>
      </c>
      <c r="C46" s="57"/>
      <c r="D46" s="57"/>
      <c r="F46" s="7"/>
      <c r="G46" s="10"/>
      <c r="H46"/>
      <c r="I46"/>
      <c r="L46" s="7"/>
      <c r="M46" s="10"/>
      <c r="N46"/>
      <c r="O46"/>
      <c r="R46"/>
      <c r="S46"/>
      <c r="T46"/>
      <c r="U46"/>
    </row>
    <row r="47" spans="1:21" s="6" customFormat="1" ht="30" customHeight="1">
      <c r="A47" s="44" t="s">
        <v>55</v>
      </c>
      <c r="B47" s="45">
        <f>B44-B46</f>
        <v>4865.3329999999987</v>
      </c>
      <c r="C47"/>
      <c r="F47" s="7"/>
      <c r="G47" s="10"/>
      <c r="H47"/>
      <c r="I47"/>
      <c r="L47" s="7"/>
      <c r="M47" s="10"/>
      <c r="N47"/>
      <c r="O47"/>
      <c r="R47"/>
      <c r="S47"/>
      <c r="T47"/>
      <c r="U47"/>
    </row>
  </sheetData>
  <mergeCells count="28">
    <mergeCell ref="C44:D46"/>
    <mergeCell ref="B37:C37"/>
    <mergeCell ref="D37:E37"/>
    <mergeCell ref="H37:I37"/>
    <mergeCell ref="J37:K37"/>
    <mergeCell ref="N37:O37"/>
    <mergeCell ref="P37:Q37"/>
    <mergeCell ref="D34:E34"/>
    <mergeCell ref="J34:K34"/>
    <mergeCell ref="P34:Q34"/>
    <mergeCell ref="D36:E36"/>
    <mergeCell ref="J36:K36"/>
    <mergeCell ref="P36:Q36"/>
    <mergeCell ref="B15:E21"/>
    <mergeCell ref="J19:K19"/>
    <mergeCell ref="J21:K21"/>
    <mergeCell ref="P21:Q21"/>
    <mergeCell ref="H22:I22"/>
    <mergeCell ref="J22:K22"/>
    <mergeCell ref="N22:O22"/>
    <mergeCell ref="P22:Q22"/>
    <mergeCell ref="H12:I12"/>
    <mergeCell ref="J12:K12"/>
    <mergeCell ref="R2:U8"/>
    <mergeCell ref="D10:E10"/>
    <mergeCell ref="D11:E11"/>
    <mergeCell ref="N11:O11"/>
    <mergeCell ref="P11:Q11"/>
  </mergeCells>
  <conditionalFormatting sqref="B47">
    <cfRule type="expression" dxfId="149" priority="18">
      <formula>$B$47&gt;0</formula>
    </cfRule>
  </conditionalFormatting>
  <conditionalFormatting sqref="D10">
    <cfRule type="expression" dxfId="148" priority="21" stopIfTrue="1">
      <formula>$C$8&gt;=($C$10+-($C$10*0.1))</formula>
    </cfRule>
    <cfRule type="expression" dxfId="147" priority="22">
      <formula>$C$10&gt;$C$8</formula>
    </cfRule>
  </conditionalFormatting>
  <conditionalFormatting sqref="D36:E36">
    <cfRule type="expression" dxfId="146" priority="6" stopIfTrue="1">
      <formula>C34&gt;=(C36+-(C36*0.1))</formula>
    </cfRule>
    <cfRule type="expression" dxfId="145" priority="7">
      <formula>C36&gt;C34</formula>
    </cfRule>
  </conditionalFormatting>
  <conditionalFormatting sqref="J36">
    <cfRule type="expression" dxfId="144" priority="8" stopIfTrue="1">
      <formula>I34&gt;=(I36+-(I36*0.1))</formula>
    </cfRule>
    <cfRule type="expression" dxfId="143" priority="9">
      <formula>I36&gt;I34</formula>
    </cfRule>
  </conditionalFormatting>
  <conditionalFormatting sqref="J11:K11">
    <cfRule type="expression" dxfId="142" priority="25" stopIfTrue="1">
      <formula>$I9&gt;=($I11+-($I11*0.1))</formula>
    </cfRule>
    <cfRule type="expression" dxfId="141" priority="26">
      <formula>$I11&gt;$I9</formula>
    </cfRule>
  </conditionalFormatting>
  <conditionalFormatting sqref="J21:K21">
    <cfRule type="expression" dxfId="140" priority="14" stopIfTrue="1">
      <formula>I19&gt;=(I21+-(I21*0.1))</formula>
    </cfRule>
    <cfRule type="expression" dxfId="139" priority="15">
      <formula>I21&gt;I19</formula>
    </cfRule>
  </conditionalFormatting>
  <conditionalFormatting sqref="K16:K18">
    <cfRule type="top10" dxfId="138" priority="17" stopIfTrue="1" rank="1"/>
  </conditionalFormatting>
  <conditionalFormatting sqref="K27:K29 K31:K33">
    <cfRule type="top10" dxfId="137" priority="23" stopIfTrue="1" rank="1"/>
  </conditionalFormatting>
  <conditionalFormatting sqref="P21">
    <cfRule type="expression" dxfId="136" priority="12" stopIfTrue="1">
      <formula>O19&gt;=(O21+-(O21*0.1))</formula>
    </cfRule>
    <cfRule type="expression" dxfId="135" priority="13">
      <formula>O21&gt;O19</formula>
    </cfRule>
  </conditionalFormatting>
  <conditionalFormatting sqref="P36">
    <cfRule type="expression" dxfId="134" priority="10" stopIfTrue="1">
      <formula>O34&gt;=(O36+-(O36*0.1))</formula>
    </cfRule>
    <cfRule type="expression" dxfId="133" priority="11">
      <formula>O36&gt;O34</formula>
    </cfRule>
  </conditionalFormatting>
  <conditionalFormatting sqref="P10:Q10">
    <cfRule type="expression" dxfId="132" priority="19" stopIfTrue="1">
      <formula>$O$8&gt;=($O$10+-($O$10*0.1))</formula>
    </cfRule>
    <cfRule type="expression" dxfId="131" priority="20">
      <formula>$O$10&gt;$O$8</formula>
    </cfRule>
  </conditionalFormatting>
  <conditionalFormatting sqref="Q16:Q18">
    <cfRule type="top10" dxfId="130" priority="16" stopIfTrue="1" rank="1"/>
    <cfRule type="top10" dxfId="129" priority="24" rank="1"/>
  </conditionalFormatting>
  <conditionalFormatting sqref="E27:E29 E31:E33">
    <cfRule type="top10" dxfId="128" priority="27" stopIfTrue="1" rank="1"/>
  </conditionalFormatting>
  <conditionalFormatting sqref="Q27:Q29 Q31:Q33">
    <cfRule type="top10" dxfId="127" priority="28" stopIfTrue="1" rank="1"/>
  </conditionalFormatting>
  <conditionalFormatting sqref="E30">
    <cfRule type="top10" dxfId="126" priority="5" stopIfTrue="1" rank="1"/>
  </conditionalFormatting>
  <conditionalFormatting sqref="K30">
    <cfRule type="top10" dxfId="125" priority="4" stopIfTrue="1" rank="1"/>
  </conditionalFormatting>
  <conditionalFormatting sqref="Q30">
    <cfRule type="top10" dxfId="124" priority="3" stopIfTrue="1" rank="1"/>
  </conditionalFormatting>
  <conditionalFormatting sqref="K15">
    <cfRule type="top10" dxfId="123" priority="2" stopIfTrue="1" rank="1"/>
  </conditionalFormatting>
  <conditionalFormatting sqref="Q15">
    <cfRule type="top10" dxfId="122" priority="1" stopIfTrue="1" rank="1"/>
  </conditionalFormatting>
  <conditionalFormatting sqref="Q2:Q7">
    <cfRule type="top10" dxfId="121" priority="29" rank="1"/>
    <cfRule type="top10" dxfId="120" priority="30" stopIfTrue="1" rank="1"/>
  </conditionalFormatting>
  <conditionalFormatting sqref="K2:K8">
    <cfRule type="top10" dxfId="119" priority="31" stopIfTrue="1" rank="1"/>
  </conditionalFormatting>
  <conditionalFormatting sqref="E2:E7">
    <cfRule type="top10" dxfId="118" priority="32" stopIfTrue="1" rank="1"/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CCEC-DCD9-224F-ADC6-BC7B409DA36D}">
  <dimension ref="A1:U47"/>
  <sheetViews>
    <sheetView tabSelected="1" zoomScale="125" zoomScaleNormal="100" workbookViewId="0">
      <selection activeCell="B9" sqref="B9:E12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7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47" t="s">
        <v>9</v>
      </c>
      <c r="S2" s="47"/>
      <c r="T2" s="47"/>
      <c r="U2" s="47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7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:K8" si="1">I3*J3</f>
        <v>15.45</v>
      </c>
      <c r="M3" s="8" t="s">
        <v>45</v>
      </c>
      <c r="N3" t="s">
        <v>11</v>
      </c>
      <c r="O3">
        <v>1</v>
      </c>
      <c r="P3" s="6">
        <v>15.45</v>
      </c>
      <c r="Q3" s="6">
        <f t="shared" ref="Q3:Q8" si="2">O3*P3</f>
        <v>15.45</v>
      </c>
      <c r="R3" s="48"/>
      <c r="S3" s="48"/>
      <c r="T3" s="48"/>
      <c r="U3" s="48"/>
    </row>
    <row r="4" spans="1:21">
      <c r="A4" s="8" t="s">
        <v>14</v>
      </c>
      <c r="B4" t="s">
        <v>15</v>
      </c>
      <c r="C4">
        <v>2</v>
      </c>
      <c r="D4" s="6">
        <v>37.5</v>
      </c>
      <c r="E4" s="6">
        <f t="shared" si="0"/>
        <v>75</v>
      </c>
      <c r="G4" s="9">
        <v>0.36458333333333331</v>
      </c>
      <c r="H4" t="s">
        <v>15</v>
      </c>
      <c r="I4">
        <v>1</v>
      </c>
      <c r="J4" s="6">
        <v>37.5</v>
      </c>
      <c r="K4" s="6">
        <f t="shared" si="1"/>
        <v>37.5</v>
      </c>
      <c r="M4" s="9">
        <v>0.36458333333333331</v>
      </c>
      <c r="N4" t="s">
        <v>15</v>
      </c>
      <c r="O4">
        <v>1</v>
      </c>
      <c r="P4" s="6">
        <v>37.5</v>
      </c>
      <c r="Q4" s="6">
        <f t="shared" si="2"/>
        <v>37.5</v>
      </c>
      <c r="R4" s="48"/>
      <c r="S4" s="48"/>
      <c r="T4" s="48"/>
      <c r="U4" s="48"/>
    </row>
    <row r="5" spans="1:21">
      <c r="R5" s="48"/>
      <c r="S5" s="48"/>
      <c r="T5" s="48"/>
      <c r="U5" s="48"/>
    </row>
    <row r="6" spans="1:21">
      <c r="B6" t="s">
        <v>16</v>
      </c>
      <c r="C6">
        <v>7</v>
      </c>
      <c r="D6" s="6">
        <v>36</v>
      </c>
      <c r="E6" s="6">
        <f t="shared" si="0"/>
        <v>252</v>
      </c>
      <c r="H6" t="s">
        <v>16</v>
      </c>
      <c r="I6">
        <v>7</v>
      </c>
      <c r="J6" s="6">
        <v>36</v>
      </c>
      <c r="K6" s="6">
        <f t="shared" si="1"/>
        <v>252</v>
      </c>
      <c r="N6" t="s">
        <v>16</v>
      </c>
      <c r="O6">
        <v>7</v>
      </c>
      <c r="P6" s="6">
        <v>36</v>
      </c>
      <c r="Q6" s="6">
        <f t="shared" si="2"/>
        <v>252</v>
      </c>
      <c r="R6" s="48"/>
      <c r="S6" s="48"/>
      <c r="T6" s="48"/>
      <c r="U6" s="48"/>
    </row>
    <row r="7" spans="1:21">
      <c r="B7" t="s">
        <v>17</v>
      </c>
      <c r="C7">
        <v>4</v>
      </c>
      <c r="D7" s="6">
        <v>36</v>
      </c>
      <c r="E7" s="6">
        <f t="shared" si="0"/>
        <v>144</v>
      </c>
      <c r="H7" t="s">
        <v>18</v>
      </c>
      <c r="I7">
        <v>3</v>
      </c>
      <c r="J7" s="6">
        <v>36</v>
      </c>
      <c r="K7" s="6">
        <f t="shared" si="1"/>
        <v>108</v>
      </c>
      <c r="N7" t="s">
        <v>19</v>
      </c>
      <c r="O7">
        <v>4</v>
      </c>
      <c r="P7" s="6">
        <v>36</v>
      </c>
      <c r="Q7" s="6">
        <f t="shared" si="2"/>
        <v>144</v>
      </c>
      <c r="R7" s="48"/>
      <c r="S7" s="48"/>
      <c r="T7" s="48"/>
      <c r="U7" s="48"/>
    </row>
    <row r="8" spans="1:21" ht="27.95" customHeight="1" thickBot="1">
      <c r="B8" t="s">
        <v>19</v>
      </c>
      <c r="C8">
        <v>3</v>
      </c>
      <c r="D8" s="6">
        <v>36</v>
      </c>
      <c r="E8" s="6">
        <f>C8*D8</f>
        <v>108</v>
      </c>
      <c r="H8" t="s">
        <v>20</v>
      </c>
      <c r="I8">
        <v>4</v>
      </c>
      <c r="J8" s="6">
        <v>36</v>
      </c>
      <c r="K8" s="6">
        <f t="shared" si="1"/>
        <v>144</v>
      </c>
      <c r="N8" t="s">
        <v>20</v>
      </c>
      <c r="O8">
        <v>3</v>
      </c>
      <c r="P8" s="6">
        <v>36</v>
      </c>
      <c r="Q8" s="6">
        <f t="shared" si="2"/>
        <v>108</v>
      </c>
      <c r="R8" s="48"/>
      <c r="S8" s="48"/>
      <c r="T8" s="48"/>
      <c r="U8" s="48"/>
    </row>
    <row r="9" spans="1:21" ht="15.95" thickBot="1">
      <c r="B9" s="11" t="s">
        <v>21</v>
      </c>
      <c r="C9" s="12">
        <f>12*C6</f>
        <v>84</v>
      </c>
      <c r="D9" s="49" t="s">
        <v>22</v>
      </c>
      <c r="E9" s="50"/>
      <c r="N9" s="11" t="s">
        <v>23</v>
      </c>
      <c r="O9" s="12">
        <f>12*O6</f>
        <v>84</v>
      </c>
      <c r="P9" s="51" t="s">
        <v>24</v>
      </c>
      <c r="Q9" s="52"/>
    </row>
    <row r="10" spans="1:21" ht="15.95" thickBot="1">
      <c r="B10" s="17" t="s">
        <v>25</v>
      </c>
      <c r="C10" s="18">
        <f>E10/C9</f>
        <v>7.5690476190476188</v>
      </c>
      <c r="D10" s="18" t="s">
        <v>26</v>
      </c>
      <c r="E10" s="18">
        <f>SUM(E2:E7)</f>
        <v>635.79999999999995</v>
      </c>
      <c r="H10" s="11" t="s">
        <v>27</v>
      </c>
      <c r="I10" s="12">
        <f>12*I6</f>
        <v>84</v>
      </c>
      <c r="J10" s="51" t="s">
        <v>24</v>
      </c>
      <c r="K10" s="52"/>
      <c r="N10" s="17" t="s">
        <v>28</v>
      </c>
      <c r="O10" s="18">
        <f>Q10/O9</f>
        <v>10.186309523809523</v>
      </c>
      <c r="P10" s="18" t="s">
        <v>26</v>
      </c>
      <c r="Q10" s="18">
        <f>SUM(Q2:Q8)</f>
        <v>855.65</v>
      </c>
    </row>
    <row r="11" spans="1:21">
      <c r="B11" s="19" t="s">
        <v>31</v>
      </c>
      <c r="C11" s="19">
        <v>85</v>
      </c>
      <c r="D11" s="20" t="s">
        <v>30</v>
      </c>
      <c r="E11" s="20"/>
      <c r="H11" s="17" t="s">
        <v>28</v>
      </c>
      <c r="I11" s="18">
        <f>K11/I10</f>
        <v>10.186309523809523</v>
      </c>
      <c r="J11" s="18" t="s">
        <v>26</v>
      </c>
      <c r="K11" s="18">
        <f>SUM(K2:K9)</f>
        <v>855.65</v>
      </c>
      <c r="N11" s="19" t="s">
        <v>31</v>
      </c>
      <c r="O11" s="19">
        <v>85</v>
      </c>
      <c r="P11" s="46" t="s">
        <v>30</v>
      </c>
      <c r="Q11" s="46"/>
    </row>
    <row r="12" spans="1:21">
      <c r="B12" s="21" t="s">
        <v>32</v>
      </c>
      <c r="C12" s="21"/>
      <c r="D12" s="22">
        <f>E10/42</f>
        <v>15.138095238095238</v>
      </c>
      <c r="E12" s="22"/>
      <c r="H12" s="19" t="s">
        <v>31</v>
      </c>
      <c r="I12" s="19">
        <v>85</v>
      </c>
      <c r="J12" s="46" t="s">
        <v>30</v>
      </c>
      <c r="K12" s="46"/>
      <c r="N12" s="53" t="s">
        <v>32</v>
      </c>
      <c r="O12" s="53"/>
      <c r="P12" s="54">
        <f>Q10/42</f>
        <v>20.372619047619047</v>
      </c>
      <c r="Q12" s="54"/>
    </row>
    <row r="13" spans="1:21" ht="15" customHeight="1">
      <c r="H13" s="53" t="s">
        <v>32</v>
      </c>
      <c r="I13" s="53"/>
      <c r="J13" s="54">
        <f>K11/42</f>
        <v>20.372619047619047</v>
      </c>
      <c r="K13" s="54"/>
    </row>
    <row r="14" spans="1:21" ht="15" customHeight="1">
      <c r="N14" s="23"/>
      <c r="O14" s="23"/>
      <c r="P14" s="24"/>
      <c r="Q14" s="24"/>
    </row>
    <row r="15" spans="1:21" ht="32.1">
      <c r="A15" s="25" t="s">
        <v>33</v>
      </c>
      <c r="B15" s="55" t="s">
        <v>34</v>
      </c>
      <c r="C15" s="55"/>
      <c r="D15" s="55"/>
      <c r="E15" s="55"/>
      <c r="G15" s="25" t="s">
        <v>33</v>
      </c>
      <c r="M15" s="25" t="s">
        <v>33</v>
      </c>
    </row>
    <row r="16" spans="1:21" ht="15.95">
      <c r="B16" s="55"/>
      <c r="C16" s="55"/>
      <c r="D16" s="55"/>
      <c r="E16" s="55"/>
      <c r="G16" s="26" t="s">
        <v>45</v>
      </c>
      <c r="H16" t="s">
        <v>36</v>
      </c>
      <c r="I16">
        <v>7</v>
      </c>
      <c r="J16" s="6">
        <v>18.95</v>
      </c>
      <c r="K16" s="6">
        <f t="shared" ref="K16:K18" si="3">I16*J16</f>
        <v>132.65</v>
      </c>
      <c r="M16" s="26" t="s">
        <v>45</v>
      </c>
      <c r="N16" t="s">
        <v>37</v>
      </c>
      <c r="O16">
        <v>1</v>
      </c>
      <c r="P16" s="6">
        <v>149.35</v>
      </c>
      <c r="Q16" s="6">
        <f t="shared" ref="Q16:Q18" si="4">O16*P16</f>
        <v>149.35</v>
      </c>
    </row>
    <row r="17" spans="1:17">
      <c r="B17" s="55"/>
      <c r="C17" s="55"/>
      <c r="D17" s="55"/>
      <c r="E17" s="55"/>
      <c r="H17" t="s">
        <v>37</v>
      </c>
      <c r="I17">
        <v>1</v>
      </c>
      <c r="J17" s="6">
        <v>149.35</v>
      </c>
      <c r="K17" s="6">
        <f t="shared" si="3"/>
        <v>149.35</v>
      </c>
      <c r="N17" t="s">
        <v>36</v>
      </c>
      <c r="O17">
        <v>7</v>
      </c>
      <c r="P17" s="6">
        <v>18.95</v>
      </c>
      <c r="Q17" s="6">
        <f t="shared" si="4"/>
        <v>132.65</v>
      </c>
    </row>
    <row r="18" spans="1:17" ht="15.95" thickBot="1">
      <c r="B18" s="55"/>
      <c r="C18" s="55"/>
      <c r="D18" s="55"/>
      <c r="E18" s="55"/>
      <c r="H18" t="s">
        <v>38</v>
      </c>
      <c r="I18">
        <v>7</v>
      </c>
      <c r="J18" s="6">
        <v>36</v>
      </c>
      <c r="K18" s="6">
        <f t="shared" si="3"/>
        <v>252</v>
      </c>
      <c r="N18" t="s">
        <v>38</v>
      </c>
      <c r="O18">
        <v>7</v>
      </c>
      <c r="P18" s="6">
        <v>36</v>
      </c>
      <c r="Q18" s="6">
        <f t="shared" si="4"/>
        <v>252</v>
      </c>
    </row>
    <row r="19" spans="1:17" ht="15.95" thickBot="1">
      <c r="B19" s="55"/>
      <c r="C19" s="55"/>
      <c r="D19" s="55"/>
      <c r="E19" s="55"/>
      <c r="H19" s="11" t="s">
        <v>23</v>
      </c>
      <c r="I19" s="12">
        <f>12*I16</f>
        <v>84</v>
      </c>
      <c r="J19" s="51" t="s">
        <v>39</v>
      </c>
      <c r="K19" s="52"/>
      <c r="N19" s="11" t="s">
        <v>27</v>
      </c>
      <c r="O19" s="12">
        <f>12*O17</f>
        <v>84</v>
      </c>
      <c r="P19" s="15"/>
      <c r="Q19" s="16"/>
    </row>
    <row r="20" spans="1:17">
      <c r="B20" s="55"/>
      <c r="C20" s="55"/>
      <c r="D20" s="55"/>
      <c r="E20" s="55"/>
      <c r="H20" s="17" t="s">
        <v>28</v>
      </c>
      <c r="I20" s="18">
        <f>K20/I19</f>
        <v>6.3571428571428568</v>
      </c>
      <c r="J20" s="18" t="s">
        <v>26</v>
      </c>
      <c r="K20" s="18">
        <f>SUM(K15:K18)</f>
        <v>534</v>
      </c>
      <c r="N20" s="17" t="s">
        <v>28</v>
      </c>
      <c r="O20" s="18">
        <f>Q20/O19</f>
        <v>6.3571428571428568</v>
      </c>
      <c r="P20" s="18" t="s">
        <v>26</v>
      </c>
      <c r="Q20" s="18">
        <f>SUM(Q16:Q18)</f>
        <v>534</v>
      </c>
    </row>
    <row r="21" spans="1:17">
      <c r="B21" s="55"/>
      <c r="C21" s="55"/>
      <c r="D21" s="55"/>
      <c r="E21" s="55"/>
      <c r="H21" s="19" t="s">
        <v>31</v>
      </c>
      <c r="I21" s="19">
        <v>85</v>
      </c>
      <c r="J21" s="46" t="s">
        <v>30</v>
      </c>
      <c r="K21" s="46"/>
      <c r="N21" s="19" t="s">
        <v>31</v>
      </c>
      <c r="O21" s="19">
        <v>85</v>
      </c>
      <c r="P21" s="46" t="s">
        <v>30</v>
      </c>
      <c r="Q21" s="46"/>
    </row>
    <row r="22" spans="1:17">
      <c r="B22" s="27"/>
      <c r="C22" s="27"/>
      <c r="D22" s="27"/>
      <c r="E22" s="27"/>
      <c r="H22" s="53" t="s">
        <v>32</v>
      </c>
      <c r="I22" s="53"/>
      <c r="J22" s="54">
        <f>K20/42</f>
        <v>12.714285714285714</v>
      </c>
      <c r="K22" s="54"/>
      <c r="N22" s="53" t="s">
        <v>32</v>
      </c>
      <c r="O22" s="53"/>
      <c r="P22" s="54">
        <f>Q20/42</f>
        <v>12.714285714285714</v>
      </c>
      <c r="Q22" s="54"/>
    </row>
    <row r="24" spans="1:17" s="29" customFormat="1">
      <c r="A24" s="28" t="s">
        <v>40</v>
      </c>
      <c r="B24" s="29" t="s">
        <v>41</v>
      </c>
      <c r="C24" s="29">
        <v>85</v>
      </c>
      <c r="D24" s="30">
        <v>16.489999999999998</v>
      </c>
      <c r="E24" s="30">
        <f>D24*C24</f>
        <v>1401.6499999999999</v>
      </c>
      <c r="F24" s="7"/>
      <c r="G24" s="28" t="s">
        <v>40</v>
      </c>
      <c r="H24" s="29" t="s">
        <v>41</v>
      </c>
      <c r="I24" s="29">
        <v>85</v>
      </c>
      <c r="J24" s="30">
        <v>16.489999999999998</v>
      </c>
      <c r="K24" s="30">
        <f>J24*I24</f>
        <v>1401.6499999999999</v>
      </c>
      <c r="L24" s="7"/>
      <c r="M24" s="28" t="s">
        <v>40</v>
      </c>
      <c r="N24" s="29" t="s">
        <v>41</v>
      </c>
      <c r="O24" s="29">
        <v>70</v>
      </c>
      <c r="P24" s="30">
        <v>16.489999999999998</v>
      </c>
      <c r="Q24" s="30">
        <f>P24*O24</f>
        <v>1154.3</v>
      </c>
    </row>
    <row r="25" spans="1:17">
      <c r="A25" s="10" t="s">
        <v>13</v>
      </c>
      <c r="F25"/>
      <c r="G25" s="10" t="s">
        <v>13</v>
      </c>
      <c r="L25"/>
      <c r="M25" s="10" t="s">
        <v>13</v>
      </c>
    </row>
    <row r="26" spans="1:17" ht="15" customHeight="1">
      <c r="F26"/>
      <c r="L26"/>
    </row>
    <row r="27" spans="1:17" ht="32.1">
      <c r="A27" s="25" t="s">
        <v>42</v>
      </c>
      <c r="B27" t="s">
        <v>8</v>
      </c>
      <c r="C27">
        <v>1</v>
      </c>
      <c r="D27" s="6">
        <v>149.35</v>
      </c>
      <c r="E27" s="6">
        <f>C27*D27</f>
        <v>149.35</v>
      </c>
      <c r="G27" s="25" t="s">
        <v>42</v>
      </c>
      <c r="H27" t="s">
        <v>8</v>
      </c>
      <c r="I27">
        <v>1</v>
      </c>
      <c r="J27" s="6">
        <v>149.35</v>
      </c>
      <c r="K27" s="6">
        <f>I27*J27</f>
        <v>149.35</v>
      </c>
      <c r="M27" s="25" t="s">
        <v>43</v>
      </c>
      <c r="N27" t="s">
        <v>8</v>
      </c>
      <c r="O27">
        <v>1</v>
      </c>
      <c r="P27" s="6">
        <v>149.35</v>
      </c>
      <c r="Q27" s="6">
        <f>O27*P27</f>
        <v>149.35</v>
      </c>
    </row>
    <row r="28" spans="1:17">
      <c r="A28" t="s">
        <v>10</v>
      </c>
      <c r="B28" t="s">
        <v>11</v>
      </c>
      <c r="C28">
        <v>1</v>
      </c>
      <c r="D28" s="6">
        <v>15.45</v>
      </c>
      <c r="E28" s="6">
        <f t="shared" ref="E28:E33" si="5">C28*D28</f>
        <v>15.45</v>
      </c>
      <c r="G28" s="31" t="s">
        <v>44</v>
      </c>
      <c r="H28" t="s">
        <v>11</v>
      </c>
      <c r="I28">
        <v>1</v>
      </c>
      <c r="J28" s="6">
        <v>15.45</v>
      </c>
      <c r="K28" s="6">
        <f t="shared" ref="K28:K32" si="6">I28*J28</f>
        <v>15.45</v>
      </c>
      <c r="M28" s="8" t="s">
        <v>45</v>
      </c>
      <c r="N28" t="s">
        <v>11</v>
      </c>
      <c r="O28">
        <v>1</v>
      </c>
      <c r="P28" s="6">
        <v>15.45</v>
      </c>
      <c r="Q28" s="6">
        <f t="shared" ref="Q28:Q33" si="7">O28*P28</f>
        <v>15.45</v>
      </c>
    </row>
    <row r="29" spans="1:17">
      <c r="A29" s="8" t="s">
        <v>46</v>
      </c>
      <c r="B29" t="s">
        <v>15</v>
      </c>
      <c r="C29">
        <v>2</v>
      </c>
      <c r="D29" s="6">
        <v>37.5</v>
      </c>
      <c r="E29" s="6">
        <f t="shared" si="5"/>
        <v>75</v>
      </c>
      <c r="G29" s="32">
        <v>0.625</v>
      </c>
      <c r="H29" t="s">
        <v>15</v>
      </c>
      <c r="I29">
        <v>2</v>
      </c>
      <c r="J29" s="6">
        <v>37.5</v>
      </c>
      <c r="K29" s="6">
        <f t="shared" si="6"/>
        <v>75</v>
      </c>
      <c r="M29" s="8" t="s">
        <v>46</v>
      </c>
      <c r="N29" t="s">
        <v>15</v>
      </c>
      <c r="O29">
        <v>2</v>
      </c>
      <c r="P29" s="6">
        <v>37.5</v>
      </c>
      <c r="Q29" s="6">
        <f t="shared" si="7"/>
        <v>75</v>
      </c>
    </row>
    <row r="30" spans="1:17">
      <c r="M30" s="8"/>
    </row>
    <row r="31" spans="1:17">
      <c r="B31" t="s">
        <v>47</v>
      </c>
      <c r="C31">
        <v>3</v>
      </c>
      <c r="D31" s="6">
        <v>54</v>
      </c>
      <c r="E31" s="6">
        <f t="shared" si="5"/>
        <v>162</v>
      </c>
      <c r="H31" t="s">
        <v>47</v>
      </c>
      <c r="I31">
        <v>3</v>
      </c>
      <c r="J31" s="6">
        <v>54</v>
      </c>
      <c r="K31" s="6">
        <f t="shared" si="6"/>
        <v>162</v>
      </c>
      <c r="N31" t="s">
        <v>47</v>
      </c>
      <c r="O31">
        <v>3</v>
      </c>
      <c r="P31" s="6">
        <v>54</v>
      </c>
      <c r="Q31" s="6">
        <f t="shared" si="7"/>
        <v>162</v>
      </c>
    </row>
    <row r="32" spans="1:17">
      <c r="B32" t="s">
        <v>16</v>
      </c>
      <c r="C32">
        <v>4</v>
      </c>
      <c r="D32" s="6">
        <v>36</v>
      </c>
      <c r="E32" s="6">
        <f t="shared" si="5"/>
        <v>144</v>
      </c>
      <c r="H32" t="s">
        <v>16</v>
      </c>
      <c r="I32">
        <v>4</v>
      </c>
      <c r="J32" s="6">
        <v>36</v>
      </c>
      <c r="K32" s="6">
        <f t="shared" si="6"/>
        <v>144</v>
      </c>
      <c r="N32" t="s">
        <v>16</v>
      </c>
      <c r="O32">
        <v>4</v>
      </c>
      <c r="P32" s="6">
        <v>36</v>
      </c>
      <c r="Q32" s="6">
        <f t="shared" si="7"/>
        <v>144</v>
      </c>
    </row>
    <row r="33" spans="1:21" ht="15.95" thickBot="1">
      <c r="B33" t="s">
        <v>48</v>
      </c>
      <c r="C33">
        <v>7</v>
      </c>
      <c r="D33" s="6">
        <v>18.95</v>
      </c>
      <c r="E33" s="6">
        <f t="shared" si="5"/>
        <v>132.65</v>
      </c>
      <c r="H33" t="s">
        <v>48</v>
      </c>
      <c r="I33">
        <v>7</v>
      </c>
      <c r="J33" s="6">
        <v>18.95</v>
      </c>
      <c r="K33" s="6">
        <f>I33*J33</f>
        <v>132.65</v>
      </c>
      <c r="N33" t="s">
        <v>48</v>
      </c>
      <c r="O33">
        <v>7</v>
      </c>
      <c r="P33" s="6">
        <v>18.95</v>
      </c>
      <c r="Q33" s="6">
        <f t="shared" si="7"/>
        <v>132.65</v>
      </c>
    </row>
    <row r="34" spans="1:21" ht="29.1" customHeight="1" thickBot="1">
      <c r="B34" s="33" t="s">
        <v>21</v>
      </c>
      <c r="C34" s="34">
        <f>12*C33</f>
        <v>84</v>
      </c>
      <c r="D34" s="49" t="s">
        <v>22</v>
      </c>
      <c r="E34" s="50"/>
      <c r="H34" s="33" t="s">
        <v>21</v>
      </c>
      <c r="I34" s="34">
        <f>12*I33</f>
        <v>84</v>
      </c>
      <c r="J34" s="49" t="s">
        <v>22</v>
      </c>
      <c r="K34" s="56"/>
      <c r="N34" s="33" t="s">
        <v>21</v>
      </c>
      <c r="O34" s="34">
        <f>O33*12</f>
        <v>84</v>
      </c>
      <c r="P34" s="49" t="s">
        <v>22</v>
      </c>
      <c r="Q34" s="56"/>
    </row>
    <row r="35" spans="1:21" ht="29.1" customHeight="1">
      <c r="B35" s="17" t="s">
        <v>28</v>
      </c>
      <c r="C35" s="18">
        <f>E35/C34</f>
        <v>8.0767857142857142</v>
      </c>
      <c r="D35" s="18" t="s">
        <v>26</v>
      </c>
      <c r="E35" s="18">
        <f>SUM(E27:E33)</f>
        <v>678.44999999999993</v>
      </c>
      <c r="H35" s="17" t="s">
        <v>28</v>
      </c>
      <c r="I35" s="18">
        <f>K35/I34</f>
        <v>8.0767857142857142</v>
      </c>
      <c r="J35" s="18" t="s">
        <v>26</v>
      </c>
      <c r="K35" s="18">
        <f>SUM(K27:K33)</f>
        <v>678.44999999999993</v>
      </c>
      <c r="N35" s="17" t="s">
        <v>28</v>
      </c>
      <c r="O35" s="18">
        <f>Q35/O34</f>
        <v>8.0767857142857142</v>
      </c>
      <c r="P35" s="18" t="s">
        <v>26</v>
      </c>
      <c r="Q35" s="18">
        <f>SUM(Q27:Q33)</f>
        <v>678.44999999999993</v>
      </c>
    </row>
    <row r="36" spans="1:21" ht="18" customHeight="1">
      <c r="B36" s="19" t="s">
        <v>31</v>
      </c>
      <c r="C36" s="19">
        <v>85</v>
      </c>
      <c r="D36" s="46" t="s">
        <v>30</v>
      </c>
      <c r="E36" s="46"/>
      <c r="H36" s="19" t="s">
        <v>31</v>
      </c>
      <c r="I36" s="19">
        <v>85</v>
      </c>
      <c r="J36" s="46" t="s">
        <v>30</v>
      </c>
      <c r="K36" s="46"/>
      <c r="N36" s="19" t="s">
        <v>31</v>
      </c>
      <c r="O36" s="19">
        <v>85</v>
      </c>
      <c r="P36" s="46" t="s">
        <v>30</v>
      </c>
      <c r="Q36" s="46"/>
    </row>
    <row r="37" spans="1:21" ht="17.100000000000001" customHeight="1">
      <c r="B37" s="53" t="s">
        <v>32</v>
      </c>
      <c r="C37" s="53"/>
      <c r="D37" s="54">
        <v>23.566666666666666</v>
      </c>
      <c r="E37" s="54"/>
      <c r="H37" s="53" t="s">
        <v>32</v>
      </c>
      <c r="I37" s="53"/>
      <c r="J37" s="22">
        <f>K35/42</f>
        <v>16.153571428571428</v>
      </c>
      <c r="K37" s="22"/>
      <c r="N37" s="53" t="s">
        <v>32</v>
      </c>
      <c r="O37" s="53"/>
      <c r="P37" s="54">
        <v>23.566666666666666</v>
      </c>
      <c r="Q37" s="54"/>
    </row>
    <row r="38" spans="1:21" ht="15" customHeight="1">
      <c r="A38" s="35"/>
      <c r="B38" s="36"/>
      <c r="C38" s="36"/>
      <c r="D38" s="37"/>
      <c r="E38" s="37"/>
      <c r="F38" s="38"/>
      <c r="G38" s="35"/>
      <c r="L38" s="38"/>
      <c r="M38" s="35"/>
    </row>
    <row r="39" spans="1:21" ht="15" customHeight="1">
      <c r="A39" s="10" t="s">
        <v>49</v>
      </c>
      <c r="E39" s="6">
        <f>SUM(E35,E10,E24)</f>
        <v>2715.8999999999996</v>
      </c>
      <c r="K39" s="6">
        <f>SUM(K35,Q10,K24,K20)</f>
        <v>3469.75</v>
      </c>
      <c r="Q39" s="6">
        <f>SUM(Q35,Q24,Q20,K11)</f>
        <v>3222.4</v>
      </c>
    </row>
    <row r="40" spans="1:21" ht="15" customHeight="1">
      <c r="A40" s="10" t="s">
        <v>50</v>
      </c>
      <c r="E40" s="6">
        <f>E39*0.13</f>
        <v>353.06699999999995</v>
      </c>
      <c r="K40" s="6">
        <f>K39*0.13</f>
        <v>451.0675</v>
      </c>
      <c r="Q40" s="6">
        <f>Q39*0.13</f>
        <v>418.91200000000003</v>
      </c>
    </row>
    <row r="41" spans="1:21" ht="15" customHeight="1">
      <c r="A41" s="10" t="s">
        <v>51</v>
      </c>
      <c r="E41" s="6">
        <f>E39+E40</f>
        <v>3068.9669999999996</v>
      </c>
      <c r="K41" s="6">
        <f>K39+K40</f>
        <v>3920.8175000000001</v>
      </c>
      <c r="Q41" s="6">
        <f>Q39+Q40</f>
        <v>3641.3119999999999</v>
      </c>
    </row>
    <row r="43" spans="1:21" ht="15" customHeight="1" thickBot="1"/>
    <row r="44" spans="1:21" s="6" customFormat="1" ht="15" customHeight="1" thickBot="1">
      <c r="A44" s="39" t="s">
        <v>52</v>
      </c>
      <c r="B44" s="40">
        <f>SUM(E41,K41,Q41)</f>
        <v>10631.0965</v>
      </c>
      <c r="C44" s="57"/>
      <c r="D44" s="57"/>
      <c r="F44" s="7"/>
      <c r="G44" s="10"/>
      <c r="H44"/>
      <c r="I44"/>
      <c r="L44" s="7"/>
      <c r="M44" s="10"/>
      <c r="N44"/>
      <c r="O44"/>
      <c r="R44"/>
      <c r="S44"/>
      <c r="T44"/>
      <c r="U44"/>
    </row>
    <row r="45" spans="1:21" s="6" customFormat="1" ht="15" customHeight="1">
      <c r="A45" s="41" t="s">
        <v>53</v>
      </c>
      <c r="B45" s="41">
        <v>43</v>
      </c>
      <c r="C45" s="57"/>
      <c r="D45" s="57"/>
      <c r="F45" s="7"/>
      <c r="G45" s="10"/>
      <c r="H45"/>
      <c r="I45"/>
      <c r="L45" s="7"/>
      <c r="M45" s="10"/>
      <c r="N45"/>
      <c r="O45"/>
      <c r="R45"/>
      <c r="S45"/>
      <c r="T45"/>
      <c r="U45"/>
    </row>
    <row r="46" spans="1:21" s="6" customFormat="1" ht="27.95" customHeight="1">
      <c r="A46" s="42" t="s">
        <v>54</v>
      </c>
      <c r="B46" s="43">
        <f>B45*160</f>
        <v>6880</v>
      </c>
      <c r="C46" s="57"/>
      <c r="D46" s="57"/>
      <c r="F46" s="7"/>
      <c r="G46" s="10"/>
      <c r="H46"/>
      <c r="I46"/>
      <c r="L46" s="7"/>
      <c r="M46" s="10"/>
      <c r="N46"/>
      <c r="O46"/>
      <c r="R46"/>
      <c r="S46"/>
      <c r="T46"/>
      <c r="U46"/>
    </row>
    <row r="47" spans="1:21" s="6" customFormat="1" ht="30" customHeight="1">
      <c r="A47" s="44" t="s">
        <v>55</v>
      </c>
      <c r="B47" s="45">
        <f>B44-B46</f>
        <v>3751.0964999999997</v>
      </c>
      <c r="C47"/>
      <c r="F47" s="7"/>
      <c r="G47" s="10"/>
      <c r="H47"/>
      <c r="I47"/>
      <c r="L47" s="7"/>
      <c r="M47" s="10"/>
      <c r="N47"/>
      <c r="O47"/>
      <c r="R47"/>
      <c r="S47"/>
      <c r="T47"/>
      <c r="U47"/>
    </row>
  </sheetData>
  <mergeCells count="30">
    <mergeCell ref="C44:D46"/>
    <mergeCell ref="D36:E36"/>
    <mergeCell ref="J36:K36"/>
    <mergeCell ref="P36:Q36"/>
    <mergeCell ref="B37:C37"/>
    <mergeCell ref="D37:E37"/>
    <mergeCell ref="H37:I37"/>
    <mergeCell ref="N37:O37"/>
    <mergeCell ref="P37:Q37"/>
    <mergeCell ref="H22:I22"/>
    <mergeCell ref="J22:K22"/>
    <mergeCell ref="N22:O22"/>
    <mergeCell ref="P22:Q22"/>
    <mergeCell ref="D34:E34"/>
    <mergeCell ref="J34:K34"/>
    <mergeCell ref="P34:Q34"/>
    <mergeCell ref="P21:Q21"/>
    <mergeCell ref="R2:U8"/>
    <mergeCell ref="D9:E9"/>
    <mergeCell ref="P9:Q9"/>
    <mergeCell ref="J10:K10"/>
    <mergeCell ref="P11:Q11"/>
    <mergeCell ref="J12:K12"/>
    <mergeCell ref="N12:O12"/>
    <mergeCell ref="P12:Q12"/>
    <mergeCell ref="H13:I13"/>
    <mergeCell ref="J13:K13"/>
    <mergeCell ref="B15:E21"/>
    <mergeCell ref="J19:K19"/>
    <mergeCell ref="J21:K21"/>
  </mergeCells>
  <conditionalFormatting sqref="B47">
    <cfRule type="expression" dxfId="117" priority="17">
      <formula>$B$47&gt;0</formula>
    </cfRule>
  </conditionalFormatting>
  <conditionalFormatting sqref="D11:E11">
    <cfRule type="expression" dxfId="116" priority="20" stopIfTrue="1">
      <formula>$C$9&gt;=($C$11+-($C$11*0.1))</formula>
    </cfRule>
    <cfRule type="expression" dxfId="115" priority="21">
      <formula>$C$11&gt;$C$9</formula>
    </cfRule>
  </conditionalFormatting>
  <conditionalFormatting sqref="D36:E36">
    <cfRule type="expression" dxfId="114" priority="1" stopIfTrue="1">
      <formula>C34&gt;=(C36+-(C36*0.1))</formula>
    </cfRule>
    <cfRule type="expression" dxfId="113" priority="2">
      <formula>C36&gt;C34</formula>
    </cfRule>
  </conditionalFormatting>
  <conditionalFormatting sqref="E2:E8">
    <cfRule type="top10" dxfId="112" priority="13" stopIfTrue="1" rank="1"/>
  </conditionalFormatting>
  <conditionalFormatting sqref="J36">
    <cfRule type="expression" dxfId="111" priority="3" stopIfTrue="1">
      <formula>I34&gt;=(I36+-(I36*0.1))</formula>
    </cfRule>
    <cfRule type="expression" dxfId="110" priority="4">
      <formula>I36&gt;I34</formula>
    </cfRule>
  </conditionalFormatting>
  <conditionalFormatting sqref="J12:K12">
    <cfRule type="expression" dxfId="109" priority="24" stopIfTrue="1">
      <formula>$I10&gt;=($I12+-($I12*0.1))</formula>
    </cfRule>
    <cfRule type="expression" dxfId="108" priority="25">
      <formula>$I12&gt;$I10</formula>
    </cfRule>
  </conditionalFormatting>
  <conditionalFormatting sqref="J21:K21">
    <cfRule type="expression" dxfId="107" priority="9" stopIfTrue="1">
      <formula>I19&gt;=(I21+-(I21*0.1))</formula>
    </cfRule>
    <cfRule type="expression" dxfId="106" priority="10">
      <formula>I21&gt;I19</formula>
    </cfRule>
  </conditionalFormatting>
  <conditionalFormatting sqref="K2:K9">
    <cfRule type="top10" dxfId="105" priority="14" stopIfTrue="1" rank="1"/>
  </conditionalFormatting>
  <conditionalFormatting sqref="K15:K18">
    <cfRule type="top10" dxfId="104" priority="12" stopIfTrue="1" rank="1"/>
  </conditionalFormatting>
  <conditionalFormatting sqref="K27:K33">
    <cfRule type="top10" dxfId="103" priority="22" stopIfTrue="1" rank="1"/>
  </conditionalFormatting>
  <conditionalFormatting sqref="P21">
    <cfRule type="expression" dxfId="102" priority="7" stopIfTrue="1">
      <formula>O19&gt;=(O21+-(O21*0.1))</formula>
    </cfRule>
    <cfRule type="expression" dxfId="101" priority="8">
      <formula>O21&gt;O19</formula>
    </cfRule>
  </conditionalFormatting>
  <conditionalFormatting sqref="P36">
    <cfRule type="expression" dxfId="100" priority="5" stopIfTrue="1">
      <formula>O34&gt;=(O36+-(O36*0.1))</formula>
    </cfRule>
    <cfRule type="expression" dxfId="99" priority="6">
      <formula>O36&gt;O34</formula>
    </cfRule>
  </conditionalFormatting>
  <conditionalFormatting sqref="P11:Q11">
    <cfRule type="expression" dxfId="98" priority="18" stopIfTrue="1">
      <formula>$O$9&gt;=($O$11+-($O$11*0.1))</formula>
    </cfRule>
    <cfRule type="expression" dxfId="97" priority="19">
      <formula>$O$11&gt;$O$9</formula>
    </cfRule>
  </conditionalFormatting>
  <conditionalFormatting sqref="Q2:Q8">
    <cfRule type="top10" dxfId="96" priority="15" rank="1"/>
    <cfRule type="top10" dxfId="95" priority="16" stopIfTrue="1" rank="1"/>
  </conditionalFormatting>
  <conditionalFormatting sqref="Q15:Q18">
    <cfRule type="top10" dxfId="94" priority="11" stopIfTrue="1" rank="1"/>
    <cfRule type="top10" dxfId="93" priority="23" rank="1"/>
  </conditionalFormatting>
  <conditionalFormatting sqref="E27:E33">
    <cfRule type="top10" dxfId="92" priority="26" stopIfTrue="1" rank="1"/>
  </conditionalFormatting>
  <conditionalFormatting sqref="Q27:Q33">
    <cfRule type="top10" dxfId="91" priority="27" stopIfTrue="1" rank="1"/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B1C7-3A1D-C943-9828-57685878336E}">
  <dimension ref="A1:U53"/>
  <sheetViews>
    <sheetView topLeftCell="A20" zoomScale="125" zoomScaleNormal="100" workbookViewId="0">
      <selection activeCell="B53" sqref="B53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7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47" t="s">
        <v>9</v>
      </c>
      <c r="S2" s="47"/>
      <c r="T2" s="47"/>
      <c r="U2" s="47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4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:K4" si="1">I3*J3</f>
        <v>15.45</v>
      </c>
      <c r="M3" s="8" t="s">
        <v>13</v>
      </c>
      <c r="N3" t="s">
        <v>11</v>
      </c>
      <c r="O3">
        <v>1</v>
      </c>
      <c r="P3" s="6">
        <v>15.45</v>
      </c>
      <c r="Q3" s="6">
        <f t="shared" ref="Q3:Q8" si="2">O3*P3</f>
        <v>15.45</v>
      </c>
      <c r="R3" s="48"/>
      <c r="S3" s="48"/>
      <c r="T3" s="48"/>
      <c r="U3" s="48"/>
    </row>
    <row r="4" spans="1:21">
      <c r="A4" s="8" t="s">
        <v>14</v>
      </c>
      <c r="B4" t="s">
        <v>15</v>
      </c>
      <c r="C4">
        <v>2</v>
      </c>
      <c r="D4" s="6">
        <v>37.5</v>
      </c>
      <c r="E4" s="6">
        <f t="shared" si="0"/>
        <v>75</v>
      </c>
      <c r="G4" s="9">
        <v>0.36458333333333331</v>
      </c>
      <c r="H4" t="s">
        <v>15</v>
      </c>
      <c r="I4">
        <v>1</v>
      </c>
      <c r="J4" s="6">
        <v>37.5</v>
      </c>
      <c r="K4" s="6">
        <f t="shared" si="1"/>
        <v>37.5</v>
      </c>
      <c r="M4" s="9">
        <v>0.36458333333333331</v>
      </c>
      <c r="N4" t="s">
        <v>15</v>
      </c>
      <c r="O4">
        <v>1</v>
      </c>
      <c r="P4" s="6">
        <v>37.5</v>
      </c>
      <c r="Q4" s="6">
        <f t="shared" si="2"/>
        <v>37.5</v>
      </c>
      <c r="R4" s="48"/>
      <c r="S4" s="48"/>
      <c r="T4" s="48"/>
      <c r="U4" s="48"/>
    </row>
    <row r="5" spans="1:21">
      <c r="B5" t="s">
        <v>16</v>
      </c>
      <c r="C5">
        <v>7</v>
      </c>
      <c r="D5" s="6">
        <v>36</v>
      </c>
      <c r="E5" s="6">
        <f>C5*D5</f>
        <v>252</v>
      </c>
      <c r="H5" t="s">
        <v>16</v>
      </c>
      <c r="I5">
        <v>7</v>
      </c>
      <c r="J5" s="6">
        <v>36</v>
      </c>
      <c r="K5" s="6">
        <f>I5*J5</f>
        <v>252</v>
      </c>
      <c r="N5" t="s">
        <v>16</v>
      </c>
      <c r="O5">
        <v>7</v>
      </c>
      <c r="P5" s="6">
        <v>36</v>
      </c>
      <c r="Q5" s="6">
        <f>O5*P5</f>
        <v>252</v>
      </c>
      <c r="R5" s="48"/>
      <c r="S5" s="48"/>
      <c r="T5" s="48"/>
      <c r="U5" s="48"/>
    </row>
    <row r="6" spans="1:21">
      <c r="B6" t="s">
        <v>17</v>
      </c>
      <c r="C6">
        <v>4</v>
      </c>
      <c r="D6" s="6">
        <v>36</v>
      </c>
      <c r="E6" s="6">
        <f>C6*D6</f>
        <v>144</v>
      </c>
      <c r="H6" t="s">
        <v>18</v>
      </c>
      <c r="I6">
        <v>4</v>
      </c>
      <c r="J6" s="6">
        <v>36</v>
      </c>
      <c r="K6" s="6">
        <f>I6*J6</f>
        <v>144</v>
      </c>
      <c r="N6" t="s">
        <v>19</v>
      </c>
      <c r="O6">
        <v>4</v>
      </c>
      <c r="P6" s="6">
        <v>36</v>
      </c>
      <c r="Q6" s="6">
        <f>O6*P6</f>
        <v>144</v>
      </c>
      <c r="R6" s="48"/>
      <c r="S6" s="48"/>
      <c r="T6" s="48"/>
      <c r="U6" s="48"/>
    </row>
    <row r="7" spans="1:21" ht="15.95" thickBot="1">
      <c r="B7" t="s">
        <v>19</v>
      </c>
      <c r="C7">
        <v>4</v>
      </c>
      <c r="D7" s="6">
        <v>36</v>
      </c>
      <c r="E7" s="6">
        <f>C7*D7</f>
        <v>144</v>
      </c>
      <c r="H7" t="s">
        <v>20</v>
      </c>
      <c r="I7">
        <v>4</v>
      </c>
      <c r="J7" s="6">
        <v>36</v>
      </c>
      <c r="K7" s="6">
        <f>I7*J7</f>
        <v>144</v>
      </c>
      <c r="N7" t="s">
        <v>20</v>
      </c>
      <c r="O7">
        <v>4</v>
      </c>
      <c r="P7" s="6">
        <v>36</v>
      </c>
      <c r="Q7" s="6">
        <f>O7*P7</f>
        <v>144</v>
      </c>
      <c r="R7" s="48"/>
      <c r="S7" s="48"/>
      <c r="T7" s="48"/>
      <c r="U7" s="48"/>
    </row>
    <row r="8" spans="1:21" ht="27.95" customHeight="1" thickBot="1">
      <c r="B8" s="11" t="s">
        <v>21</v>
      </c>
      <c r="C8" s="12">
        <f>12*C5</f>
        <v>84</v>
      </c>
      <c r="D8" s="13" t="s">
        <v>22</v>
      </c>
      <c r="E8" s="14"/>
      <c r="N8" s="11" t="s">
        <v>23</v>
      </c>
      <c r="O8" s="12">
        <f>12*O5</f>
        <v>84</v>
      </c>
      <c r="P8" s="15" t="s">
        <v>24</v>
      </c>
      <c r="Q8" s="16"/>
      <c r="R8" s="48"/>
      <c r="S8" s="48"/>
      <c r="T8" s="48"/>
      <c r="U8" s="48"/>
    </row>
    <row r="9" spans="1:21" ht="15.95" customHeight="1" thickBot="1">
      <c r="B9" s="17" t="s">
        <v>25</v>
      </c>
      <c r="C9" s="18">
        <f>E9/C8</f>
        <v>7.5690476190476188</v>
      </c>
      <c r="D9" s="18" t="s">
        <v>26</v>
      </c>
      <c r="E9" s="18">
        <f>SUM(E2:E6)</f>
        <v>635.79999999999995</v>
      </c>
      <c r="H9" s="11" t="s">
        <v>27</v>
      </c>
      <c r="I9" s="12">
        <f>12*I5</f>
        <v>84</v>
      </c>
      <c r="J9" s="15" t="s">
        <v>24</v>
      </c>
      <c r="K9" s="16"/>
      <c r="N9" s="17" t="s">
        <v>28</v>
      </c>
      <c r="O9" s="18">
        <f>Q9/O8</f>
        <v>10.614880952380952</v>
      </c>
      <c r="P9" s="18" t="s">
        <v>26</v>
      </c>
      <c r="Q9" s="18">
        <f>SUM(Q2:Q7)</f>
        <v>891.65</v>
      </c>
    </row>
    <row r="10" spans="1:21">
      <c r="B10" s="19" t="s">
        <v>29</v>
      </c>
      <c r="C10" s="19">
        <v>85</v>
      </c>
      <c r="D10" s="46" t="s">
        <v>30</v>
      </c>
      <c r="E10" s="46"/>
      <c r="H10" s="17" t="s">
        <v>28</v>
      </c>
      <c r="I10" s="18">
        <f>K10/I9</f>
        <v>10.614880952380952</v>
      </c>
      <c r="J10" s="18" t="s">
        <v>26</v>
      </c>
      <c r="K10" s="18">
        <f>SUM(K2:K8)</f>
        <v>891.65</v>
      </c>
      <c r="N10" s="19" t="s">
        <v>31</v>
      </c>
      <c r="O10" s="19">
        <v>85</v>
      </c>
      <c r="P10" s="20" t="s">
        <v>30</v>
      </c>
      <c r="Q10" s="20"/>
    </row>
    <row r="11" spans="1:21">
      <c r="B11" s="21" t="s">
        <v>32</v>
      </c>
      <c r="C11" s="21"/>
      <c r="D11" s="54">
        <f>E9/42</f>
        <v>15.138095238095238</v>
      </c>
      <c r="E11" s="54"/>
      <c r="H11" s="19" t="s">
        <v>31</v>
      </c>
      <c r="I11" s="19">
        <v>85</v>
      </c>
      <c r="J11" s="20" t="s">
        <v>30</v>
      </c>
      <c r="K11" s="20"/>
      <c r="N11" s="53" t="s">
        <v>32</v>
      </c>
      <c r="O11" s="53"/>
      <c r="P11" s="54">
        <f>Q9/42</f>
        <v>21.229761904761904</v>
      </c>
      <c r="Q11" s="54"/>
    </row>
    <row r="12" spans="1:21">
      <c r="H12" s="53" t="s">
        <v>32</v>
      </c>
      <c r="I12" s="53"/>
      <c r="J12" s="54">
        <f>K10/42</f>
        <v>21.229761904761904</v>
      </c>
      <c r="K12" s="54"/>
    </row>
    <row r="14" spans="1:21" ht="15" customHeight="1">
      <c r="N14" s="23"/>
      <c r="O14" s="23"/>
      <c r="P14" s="24"/>
      <c r="Q14" s="24"/>
    </row>
    <row r="15" spans="1:21" ht="32.1">
      <c r="A15" s="25" t="s">
        <v>33</v>
      </c>
      <c r="B15" s="55" t="s">
        <v>34</v>
      </c>
      <c r="C15" s="55"/>
      <c r="D15" s="55"/>
      <c r="E15" s="55"/>
      <c r="G15" s="25" t="s">
        <v>33</v>
      </c>
      <c r="H15" t="s">
        <v>35</v>
      </c>
      <c r="I15">
        <v>2</v>
      </c>
      <c r="J15" s="6">
        <v>98</v>
      </c>
      <c r="K15" s="6">
        <f t="shared" ref="K15:K18" si="3">I15*J15</f>
        <v>196</v>
      </c>
      <c r="M15" s="25" t="s">
        <v>33</v>
      </c>
      <c r="N15" t="s">
        <v>35</v>
      </c>
      <c r="O15">
        <v>2</v>
      </c>
      <c r="P15" s="6">
        <v>98</v>
      </c>
      <c r="Q15" s="6">
        <f t="shared" ref="Q15:Q18" si="4">O15*P15</f>
        <v>196</v>
      </c>
    </row>
    <row r="16" spans="1:21" ht="15.95">
      <c r="B16" s="55"/>
      <c r="C16" s="55"/>
      <c r="D16" s="55"/>
      <c r="E16" s="55"/>
      <c r="G16" s="26" t="s">
        <v>13</v>
      </c>
      <c r="H16" t="s">
        <v>36</v>
      </c>
      <c r="I16">
        <v>7</v>
      </c>
      <c r="J16" s="6">
        <v>18.95</v>
      </c>
      <c r="K16" s="6">
        <f t="shared" si="3"/>
        <v>132.65</v>
      </c>
      <c r="M16" s="26" t="s">
        <v>13</v>
      </c>
      <c r="N16" t="s">
        <v>37</v>
      </c>
      <c r="O16">
        <v>1</v>
      </c>
      <c r="P16" s="6">
        <v>149.35</v>
      </c>
      <c r="Q16" s="6">
        <f t="shared" si="4"/>
        <v>149.35</v>
      </c>
    </row>
    <row r="17" spans="1:17">
      <c r="B17" s="55"/>
      <c r="C17" s="55"/>
      <c r="D17" s="55"/>
      <c r="E17" s="55"/>
      <c r="H17" t="s">
        <v>37</v>
      </c>
      <c r="I17">
        <v>1</v>
      </c>
      <c r="J17" s="6">
        <v>149.35</v>
      </c>
      <c r="K17" s="6">
        <f t="shared" si="3"/>
        <v>149.35</v>
      </c>
      <c r="N17" t="s">
        <v>36</v>
      </c>
      <c r="O17">
        <v>7</v>
      </c>
      <c r="P17" s="6">
        <v>18.95</v>
      </c>
      <c r="Q17" s="6">
        <f t="shared" si="4"/>
        <v>132.65</v>
      </c>
    </row>
    <row r="18" spans="1:17" ht="15.95" thickBot="1">
      <c r="B18" s="55"/>
      <c r="C18" s="55"/>
      <c r="D18" s="55"/>
      <c r="E18" s="55"/>
      <c r="H18" t="s">
        <v>38</v>
      </c>
      <c r="I18">
        <v>7</v>
      </c>
      <c r="J18" s="6">
        <v>36</v>
      </c>
      <c r="K18" s="6">
        <f t="shared" si="3"/>
        <v>252</v>
      </c>
      <c r="N18" t="s">
        <v>38</v>
      </c>
      <c r="O18">
        <v>7</v>
      </c>
      <c r="P18" s="6">
        <v>36</v>
      </c>
      <c r="Q18" s="6">
        <f t="shared" si="4"/>
        <v>252</v>
      </c>
    </row>
    <row r="19" spans="1:17" ht="15.95" thickBot="1">
      <c r="B19" s="55"/>
      <c r="C19" s="55"/>
      <c r="D19" s="55"/>
      <c r="E19" s="55"/>
      <c r="H19" s="11" t="s">
        <v>23</v>
      </c>
      <c r="I19" s="12">
        <f>12*I16</f>
        <v>84</v>
      </c>
      <c r="J19" s="51" t="s">
        <v>39</v>
      </c>
      <c r="K19" s="52"/>
      <c r="N19" s="11" t="s">
        <v>27</v>
      </c>
      <c r="O19" s="12">
        <f>12*O17</f>
        <v>84</v>
      </c>
      <c r="P19" s="15"/>
      <c r="Q19" s="16"/>
    </row>
    <row r="20" spans="1:17">
      <c r="B20" s="55"/>
      <c r="C20" s="55"/>
      <c r="D20" s="55"/>
      <c r="E20" s="55"/>
      <c r="H20" s="17" t="s">
        <v>28</v>
      </c>
      <c r="I20" s="18">
        <f>K20/I19</f>
        <v>8.6904761904761898</v>
      </c>
      <c r="J20" s="18" t="s">
        <v>26</v>
      </c>
      <c r="K20" s="18">
        <f>SUM(K15:K18)</f>
        <v>730</v>
      </c>
      <c r="N20" s="17" t="s">
        <v>28</v>
      </c>
      <c r="O20" s="18">
        <f>Q20/O19</f>
        <v>6.3571428571428568</v>
      </c>
      <c r="P20" s="18" t="s">
        <v>26</v>
      </c>
      <c r="Q20" s="18">
        <f>SUM(Q16:Q18)</f>
        <v>534</v>
      </c>
    </row>
    <row r="21" spans="1:17">
      <c r="B21" s="55"/>
      <c r="C21" s="55"/>
      <c r="D21" s="55"/>
      <c r="E21" s="55"/>
      <c r="H21" s="19" t="s">
        <v>31</v>
      </c>
      <c r="I21" s="19">
        <v>85</v>
      </c>
      <c r="J21" s="46" t="s">
        <v>30</v>
      </c>
      <c r="K21" s="46"/>
      <c r="N21" s="19" t="s">
        <v>31</v>
      </c>
      <c r="O21" s="19">
        <v>85</v>
      </c>
      <c r="P21" s="46" t="s">
        <v>30</v>
      </c>
      <c r="Q21" s="46"/>
    </row>
    <row r="22" spans="1:17">
      <c r="B22" s="27"/>
      <c r="C22" s="27"/>
      <c r="D22" s="27"/>
      <c r="E22" s="27"/>
      <c r="H22" s="53" t="s">
        <v>32</v>
      </c>
      <c r="I22" s="53"/>
      <c r="J22" s="54">
        <f>K20/42</f>
        <v>17.38095238095238</v>
      </c>
      <c r="K22" s="54"/>
      <c r="N22" s="53" t="s">
        <v>32</v>
      </c>
      <c r="O22" s="53"/>
      <c r="P22" s="54">
        <f>Q20/42</f>
        <v>12.714285714285714</v>
      </c>
      <c r="Q22" s="54"/>
    </row>
    <row r="24" spans="1:17" s="29" customFormat="1">
      <c r="A24" s="28" t="s">
        <v>40</v>
      </c>
      <c r="B24" s="29" t="s">
        <v>56</v>
      </c>
      <c r="C24" s="29">
        <v>85</v>
      </c>
      <c r="D24" s="30">
        <f>E24/C24</f>
        <v>22.56</v>
      </c>
      <c r="E24" s="30">
        <f>SUM(E25:E32)</f>
        <v>1917.6</v>
      </c>
      <c r="F24" s="7"/>
      <c r="G24" s="28" t="s">
        <v>40</v>
      </c>
      <c r="H24" s="29" t="s">
        <v>56</v>
      </c>
      <c r="I24" s="29">
        <v>85</v>
      </c>
      <c r="J24" s="30">
        <f>K24/I24</f>
        <v>22.56</v>
      </c>
      <c r="K24" s="30">
        <f>SUM(K25:K32)</f>
        <v>1917.6</v>
      </c>
      <c r="L24" s="7"/>
      <c r="M24" s="28" t="s">
        <v>40</v>
      </c>
      <c r="N24" s="29" t="s">
        <v>56</v>
      </c>
      <c r="O24" s="29">
        <v>70</v>
      </c>
      <c r="P24" s="30">
        <f>Q24/O24</f>
        <v>21.645714285714288</v>
      </c>
      <c r="Q24" s="30">
        <f>SUM(Q25:Q31)</f>
        <v>1515.2</v>
      </c>
    </row>
    <row r="25" spans="1:17">
      <c r="A25" s="10" t="s">
        <v>13</v>
      </c>
      <c r="B25" t="s">
        <v>57</v>
      </c>
      <c r="C25">
        <v>4</v>
      </c>
      <c r="D25" s="6">
        <v>96</v>
      </c>
      <c r="E25" s="6">
        <f>D25*C25</f>
        <v>384</v>
      </c>
      <c r="F25"/>
      <c r="G25" s="10" t="s">
        <v>13</v>
      </c>
      <c r="H25" t="s">
        <v>57</v>
      </c>
      <c r="I25">
        <v>4</v>
      </c>
      <c r="J25" s="6">
        <v>96</v>
      </c>
      <c r="K25" s="6">
        <f>J25*I25</f>
        <v>384</v>
      </c>
      <c r="L25"/>
      <c r="M25" s="10" t="s">
        <v>13</v>
      </c>
      <c r="N25" t="s">
        <v>57</v>
      </c>
      <c r="O25">
        <v>3</v>
      </c>
      <c r="P25" s="6">
        <v>96</v>
      </c>
      <c r="Q25" s="6">
        <f>P25*O25</f>
        <v>288</v>
      </c>
    </row>
    <row r="26" spans="1:17">
      <c r="B26" t="s">
        <v>58</v>
      </c>
      <c r="C26">
        <v>4</v>
      </c>
      <c r="D26" s="6">
        <v>96</v>
      </c>
      <c r="E26" s="6">
        <f>D26*C26</f>
        <v>384</v>
      </c>
      <c r="F26"/>
      <c r="H26" t="s">
        <v>58</v>
      </c>
      <c r="I26">
        <v>4</v>
      </c>
      <c r="J26" s="6">
        <v>96</v>
      </c>
      <c r="K26" s="6">
        <f>J26*I26</f>
        <v>384</v>
      </c>
      <c r="L26"/>
      <c r="N26" t="s">
        <v>58</v>
      </c>
      <c r="O26">
        <v>3</v>
      </c>
      <c r="P26" s="6">
        <v>96</v>
      </c>
      <c r="Q26" s="6">
        <f>P26*O26</f>
        <v>288</v>
      </c>
    </row>
    <row r="27" spans="1:17">
      <c r="B27" t="s">
        <v>16</v>
      </c>
      <c r="C27">
        <v>6</v>
      </c>
      <c r="D27" s="6">
        <v>36</v>
      </c>
      <c r="E27" s="6">
        <f t="shared" ref="E27:E29" si="5">D27*C27</f>
        <v>216</v>
      </c>
      <c r="F27"/>
      <c r="H27" t="s">
        <v>16</v>
      </c>
      <c r="I27">
        <v>6</v>
      </c>
      <c r="J27" s="6">
        <v>36</v>
      </c>
      <c r="K27" s="6">
        <f t="shared" ref="K27:K29" si="6">J27*I27</f>
        <v>216</v>
      </c>
      <c r="L27"/>
      <c r="N27" t="s">
        <v>16</v>
      </c>
      <c r="O27">
        <v>4</v>
      </c>
      <c r="P27" s="6">
        <v>36</v>
      </c>
      <c r="Q27" s="6">
        <f t="shared" ref="Q27:Q29" si="7">P27*O27</f>
        <v>144</v>
      </c>
    </row>
    <row r="28" spans="1:17">
      <c r="B28" t="s">
        <v>59</v>
      </c>
      <c r="C28">
        <v>8</v>
      </c>
      <c r="D28" s="6">
        <v>48</v>
      </c>
      <c r="E28" s="6">
        <f t="shared" si="5"/>
        <v>384</v>
      </c>
      <c r="F28"/>
      <c r="H28" t="s">
        <v>59</v>
      </c>
      <c r="I28">
        <v>8</v>
      </c>
      <c r="J28" s="6">
        <v>48</v>
      </c>
      <c r="K28" s="6">
        <f t="shared" si="6"/>
        <v>384</v>
      </c>
      <c r="L28"/>
      <c r="N28" t="s">
        <v>59</v>
      </c>
      <c r="O28">
        <v>6</v>
      </c>
      <c r="P28" s="6">
        <v>48</v>
      </c>
      <c r="Q28" s="6">
        <f t="shared" si="7"/>
        <v>288</v>
      </c>
    </row>
    <row r="29" spans="1:17">
      <c r="B29" t="s">
        <v>60</v>
      </c>
      <c r="C29">
        <v>8</v>
      </c>
      <c r="D29" s="6">
        <v>48</v>
      </c>
      <c r="E29" s="6">
        <f t="shared" si="5"/>
        <v>384</v>
      </c>
      <c r="F29"/>
      <c r="H29" t="s">
        <v>61</v>
      </c>
      <c r="I29">
        <v>8</v>
      </c>
      <c r="J29" s="6">
        <v>48</v>
      </c>
      <c r="K29" s="6">
        <f t="shared" si="6"/>
        <v>384</v>
      </c>
      <c r="L29"/>
      <c r="N29" t="s">
        <v>62</v>
      </c>
      <c r="O29">
        <v>6</v>
      </c>
      <c r="P29" s="6">
        <v>60</v>
      </c>
      <c r="Q29" s="6">
        <f t="shared" si="7"/>
        <v>360</v>
      </c>
    </row>
    <row r="30" spans="1:17">
      <c r="B30" t="s">
        <v>63</v>
      </c>
      <c r="C30">
        <v>90</v>
      </c>
      <c r="D30" s="6">
        <v>1.84</v>
      </c>
      <c r="E30" s="6">
        <f>D30*C30</f>
        <v>165.6</v>
      </c>
      <c r="F30"/>
      <c r="H30" t="s">
        <v>63</v>
      </c>
      <c r="I30">
        <v>90</v>
      </c>
      <c r="J30" s="6">
        <v>1.84</v>
      </c>
      <c r="K30" s="6">
        <f>J30*I30</f>
        <v>165.6</v>
      </c>
      <c r="L30"/>
      <c r="N30" t="s">
        <v>63</v>
      </c>
      <c r="O30">
        <v>80</v>
      </c>
      <c r="P30" s="6">
        <v>1.84</v>
      </c>
      <c r="Q30" s="6">
        <f>P30*O30</f>
        <v>147.20000000000002</v>
      </c>
    </row>
    <row r="31" spans="1:17">
      <c r="B31" s="53" t="s">
        <v>32</v>
      </c>
      <c r="C31" s="53"/>
      <c r="D31" s="54">
        <f>E24/42</f>
        <v>45.657142857142858</v>
      </c>
      <c r="E31" s="54"/>
      <c r="F31"/>
      <c r="H31" s="53" t="s">
        <v>32</v>
      </c>
      <c r="I31" s="53"/>
      <c r="J31" s="54">
        <f>K24/42</f>
        <v>45.657142857142858</v>
      </c>
      <c r="K31" s="54"/>
      <c r="L31"/>
      <c r="N31" s="53" t="s">
        <v>32</v>
      </c>
      <c r="O31" s="53"/>
      <c r="P31" s="54">
        <f>Q24/42</f>
        <v>36.076190476190476</v>
      </c>
      <c r="Q31" s="54"/>
    </row>
    <row r="32" spans="1:17">
      <c r="D32"/>
      <c r="E32"/>
      <c r="F32"/>
      <c r="L32"/>
      <c r="P32"/>
      <c r="Q32"/>
    </row>
    <row r="33" spans="1:17" ht="32.1">
      <c r="A33" s="25" t="s">
        <v>42</v>
      </c>
      <c r="B33" t="s">
        <v>8</v>
      </c>
      <c r="C33">
        <v>2</v>
      </c>
      <c r="D33" s="6">
        <v>149.35</v>
      </c>
      <c r="E33" s="6">
        <f>C33*D33</f>
        <v>298.7</v>
      </c>
      <c r="G33" s="25" t="s">
        <v>42</v>
      </c>
      <c r="H33" t="s">
        <v>8</v>
      </c>
      <c r="I33">
        <v>2</v>
      </c>
      <c r="J33" s="6">
        <v>149.35</v>
      </c>
      <c r="K33" s="6">
        <f>I33*J33</f>
        <v>298.7</v>
      </c>
      <c r="M33" s="25" t="s">
        <v>43</v>
      </c>
      <c r="N33" t="s">
        <v>8</v>
      </c>
      <c r="O33">
        <v>2</v>
      </c>
      <c r="P33" s="6">
        <v>149.35</v>
      </c>
      <c r="Q33" s="6">
        <f>O33*P33</f>
        <v>298.7</v>
      </c>
    </row>
    <row r="34" spans="1:17">
      <c r="A34" t="s">
        <v>10</v>
      </c>
      <c r="B34" t="s">
        <v>11</v>
      </c>
      <c r="C34">
        <v>1</v>
      </c>
      <c r="D34" s="6">
        <v>15.45</v>
      </c>
      <c r="E34" s="6">
        <f t="shared" ref="E34:E39" si="8">C34*D34</f>
        <v>15.45</v>
      </c>
      <c r="G34" s="31" t="s">
        <v>44</v>
      </c>
      <c r="H34" t="s">
        <v>11</v>
      </c>
      <c r="I34">
        <v>1</v>
      </c>
      <c r="J34" s="6">
        <v>15.45</v>
      </c>
      <c r="K34" s="6">
        <f t="shared" ref="K34:K37" si="9">I34*J34</f>
        <v>15.45</v>
      </c>
      <c r="M34" s="8" t="s">
        <v>45</v>
      </c>
      <c r="N34" t="s">
        <v>11</v>
      </c>
      <c r="O34">
        <v>1</v>
      </c>
      <c r="P34" s="6">
        <v>15.45</v>
      </c>
      <c r="Q34" s="6">
        <f t="shared" ref="Q34:Q39" si="10">O34*P34</f>
        <v>15.45</v>
      </c>
    </row>
    <row r="35" spans="1:17">
      <c r="A35" s="8" t="s">
        <v>46</v>
      </c>
      <c r="B35" t="s">
        <v>15</v>
      </c>
      <c r="C35">
        <v>2</v>
      </c>
      <c r="D35" s="6">
        <v>37.5</v>
      </c>
      <c r="E35" s="6">
        <f t="shared" si="8"/>
        <v>75</v>
      </c>
      <c r="G35" s="32">
        <v>0.625</v>
      </c>
      <c r="H35" t="s">
        <v>15</v>
      </c>
      <c r="I35">
        <v>2</v>
      </c>
      <c r="J35" s="6">
        <v>37.5</v>
      </c>
      <c r="K35" s="6">
        <f t="shared" si="9"/>
        <v>75</v>
      </c>
      <c r="M35" s="8" t="s">
        <v>46</v>
      </c>
      <c r="N35" t="s">
        <v>15</v>
      </c>
      <c r="O35">
        <v>2</v>
      </c>
      <c r="P35" s="6">
        <v>37.5</v>
      </c>
      <c r="Q35" s="6">
        <f t="shared" si="10"/>
        <v>75</v>
      </c>
    </row>
    <row r="36" spans="1:17">
      <c r="B36" t="s">
        <v>35</v>
      </c>
      <c r="C36">
        <v>2</v>
      </c>
      <c r="D36" s="6">
        <v>98</v>
      </c>
      <c r="E36" s="6">
        <f t="shared" si="8"/>
        <v>196</v>
      </c>
      <c r="H36" t="s">
        <v>35</v>
      </c>
      <c r="I36">
        <v>2</v>
      </c>
      <c r="J36" s="6">
        <v>98</v>
      </c>
      <c r="K36" s="6">
        <f t="shared" si="9"/>
        <v>196</v>
      </c>
      <c r="M36" s="8"/>
      <c r="N36" t="s">
        <v>35</v>
      </c>
      <c r="O36">
        <v>2</v>
      </c>
      <c r="P36" s="6">
        <v>98</v>
      </c>
      <c r="Q36" s="6">
        <f t="shared" si="10"/>
        <v>196</v>
      </c>
    </row>
    <row r="37" spans="1:17">
      <c r="B37" t="s">
        <v>47</v>
      </c>
      <c r="C37">
        <v>4</v>
      </c>
      <c r="D37" s="6">
        <v>54</v>
      </c>
      <c r="E37" s="6">
        <f t="shared" si="8"/>
        <v>216</v>
      </c>
      <c r="H37" t="s">
        <v>47</v>
      </c>
      <c r="I37">
        <v>4</v>
      </c>
      <c r="J37" s="6">
        <v>54</v>
      </c>
      <c r="K37" s="6">
        <f t="shared" si="9"/>
        <v>216</v>
      </c>
      <c r="N37" t="s">
        <v>47</v>
      </c>
      <c r="O37">
        <v>4</v>
      </c>
      <c r="P37" s="6">
        <v>54</v>
      </c>
      <c r="Q37" s="6">
        <f t="shared" si="10"/>
        <v>216</v>
      </c>
    </row>
    <row r="38" spans="1:17">
      <c r="B38" t="s">
        <v>16</v>
      </c>
      <c r="C38">
        <v>7</v>
      </c>
      <c r="D38" s="6">
        <v>36</v>
      </c>
      <c r="E38" s="6">
        <f t="shared" si="8"/>
        <v>252</v>
      </c>
      <c r="H38" t="s">
        <v>16</v>
      </c>
      <c r="I38">
        <v>7</v>
      </c>
      <c r="J38" s="6">
        <v>36</v>
      </c>
      <c r="K38" s="6">
        <f>I38*J38</f>
        <v>252</v>
      </c>
      <c r="N38" t="s">
        <v>16</v>
      </c>
      <c r="O38">
        <v>7</v>
      </c>
      <c r="P38" s="6">
        <v>36</v>
      </c>
      <c r="Q38" s="6">
        <f t="shared" si="10"/>
        <v>252</v>
      </c>
    </row>
    <row r="39" spans="1:17" ht="15.95" thickBot="1">
      <c r="B39" t="s">
        <v>48</v>
      </c>
      <c r="C39">
        <v>7</v>
      </c>
      <c r="D39" s="6">
        <v>18.95</v>
      </c>
      <c r="E39" s="6">
        <f t="shared" si="8"/>
        <v>132.65</v>
      </c>
      <c r="H39" t="s">
        <v>48</v>
      </c>
      <c r="I39">
        <v>7</v>
      </c>
      <c r="J39" s="6">
        <v>18.95</v>
      </c>
      <c r="K39" s="6">
        <f>I39*J39</f>
        <v>132.65</v>
      </c>
      <c r="N39" t="s">
        <v>48</v>
      </c>
      <c r="O39">
        <v>7</v>
      </c>
      <c r="P39" s="6">
        <v>18.95</v>
      </c>
      <c r="Q39" s="6">
        <f t="shared" si="10"/>
        <v>132.65</v>
      </c>
    </row>
    <row r="40" spans="1:17" ht="29.1" customHeight="1" thickBot="1">
      <c r="B40" s="33" t="s">
        <v>21</v>
      </c>
      <c r="C40" s="34">
        <f>12*C39</f>
        <v>84</v>
      </c>
      <c r="D40" s="49" t="s">
        <v>22</v>
      </c>
      <c r="E40" s="50"/>
      <c r="H40" s="33" t="s">
        <v>21</v>
      </c>
      <c r="I40" s="34">
        <f>12*I39</f>
        <v>84</v>
      </c>
      <c r="J40" s="49" t="s">
        <v>22</v>
      </c>
      <c r="K40" s="56"/>
      <c r="N40" s="33" t="s">
        <v>21</v>
      </c>
      <c r="O40" s="34">
        <f>O39*12</f>
        <v>84</v>
      </c>
      <c r="P40" s="49" t="s">
        <v>22</v>
      </c>
      <c r="Q40" s="56"/>
    </row>
    <row r="41" spans="1:17" ht="29.1" customHeight="1">
      <c r="B41" s="17" t="s">
        <v>28</v>
      </c>
      <c r="C41" s="18">
        <f>E41/C40</f>
        <v>14.116666666666669</v>
      </c>
      <c r="D41" s="18" t="s">
        <v>26</v>
      </c>
      <c r="E41" s="18">
        <f>SUM(E33:E39)</f>
        <v>1185.8000000000002</v>
      </c>
      <c r="H41" s="17" t="s">
        <v>28</v>
      </c>
      <c r="I41" s="18">
        <f>K41/I40</f>
        <v>14.116666666666669</v>
      </c>
      <c r="J41" s="18" t="s">
        <v>26</v>
      </c>
      <c r="K41" s="18">
        <f>SUM(K33:K39)</f>
        <v>1185.8000000000002</v>
      </c>
      <c r="N41" s="17" t="s">
        <v>28</v>
      </c>
      <c r="O41" s="18">
        <f>Q41/O40</f>
        <v>14.116666666666669</v>
      </c>
      <c r="P41" s="18" t="s">
        <v>26</v>
      </c>
      <c r="Q41" s="18">
        <f>SUM(Q33:Q39)</f>
        <v>1185.8000000000002</v>
      </c>
    </row>
    <row r="42" spans="1:17" ht="18" customHeight="1">
      <c r="B42" s="19" t="s">
        <v>31</v>
      </c>
      <c r="C42" s="19">
        <v>85</v>
      </c>
      <c r="D42" s="46" t="s">
        <v>30</v>
      </c>
      <c r="E42" s="46"/>
      <c r="H42" s="19" t="s">
        <v>31</v>
      </c>
      <c r="I42" s="19">
        <v>85</v>
      </c>
      <c r="J42" s="46" t="s">
        <v>30</v>
      </c>
      <c r="K42" s="46"/>
      <c r="N42" s="19" t="s">
        <v>31</v>
      </c>
      <c r="O42" s="19">
        <v>85</v>
      </c>
      <c r="P42" s="46" t="s">
        <v>30</v>
      </c>
      <c r="Q42" s="46"/>
    </row>
    <row r="43" spans="1:17" ht="17.100000000000001" customHeight="1">
      <c r="B43" s="53" t="s">
        <v>32</v>
      </c>
      <c r="C43" s="53"/>
      <c r="D43" s="54">
        <f>E41/42</f>
        <v>28.233333333333338</v>
      </c>
      <c r="E43" s="54"/>
      <c r="H43" s="53" t="s">
        <v>32</v>
      </c>
      <c r="I43" s="53"/>
      <c r="J43" s="54">
        <f>K41/42</f>
        <v>28.233333333333338</v>
      </c>
      <c r="K43" s="54"/>
      <c r="N43" s="53" t="s">
        <v>32</v>
      </c>
      <c r="O43" s="53"/>
      <c r="P43" s="54">
        <f>Q41/42</f>
        <v>28.233333333333338</v>
      </c>
      <c r="Q43" s="54"/>
    </row>
    <row r="44" spans="1:17" ht="15" customHeight="1">
      <c r="A44" s="35"/>
      <c r="B44" s="36"/>
      <c r="C44" s="36"/>
      <c r="D44" s="37"/>
      <c r="E44" s="37"/>
      <c r="F44" s="38"/>
      <c r="G44" s="35"/>
      <c r="L44" s="38"/>
      <c r="M44" s="35"/>
    </row>
    <row r="45" spans="1:17" ht="15" customHeight="1">
      <c r="A45" s="10" t="s">
        <v>49</v>
      </c>
      <c r="E45" s="6">
        <f>SUM(E41,E9,E24)</f>
        <v>3739.2</v>
      </c>
      <c r="K45" s="6">
        <f>SUM(K41,Q9,K24,K20)</f>
        <v>4725.05</v>
      </c>
      <c r="Q45" s="6">
        <f>SUM(Q41,Q24,Q20,K10)</f>
        <v>4126.6499999999996</v>
      </c>
    </row>
    <row r="46" spans="1:17" ht="15" customHeight="1">
      <c r="A46" s="10" t="s">
        <v>50</v>
      </c>
      <c r="E46" s="6">
        <f>E45*0.13</f>
        <v>486.096</v>
      </c>
      <c r="K46" s="6">
        <f>K45*0.13</f>
        <v>614.25650000000007</v>
      </c>
      <c r="Q46" s="6">
        <f>Q45*0.13</f>
        <v>536.46449999999993</v>
      </c>
    </row>
    <row r="47" spans="1:17" ht="15" customHeight="1">
      <c r="A47" s="10" t="s">
        <v>51</v>
      </c>
      <c r="E47" s="6">
        <f>E45+E46</f>
        <v>4225.2960000000003</v>
      </c>
      <c r="K47" s="6">
        <f>K45+K46</f>
        <v>5339.3065000000006</v>
      </c>
      <c r="Q47" s="6">
        <f>Q45+Q46</f>
        <v>4663.1144999999997</v>
      </c>
    </row>
    <row r="49" spans="1:4" ht="15" customHeight="1" thickBot="1"/>
    <row r="50" spans="1:4" ht="15" customHeight="1" thickBot="1">
      <c r="A50" s="39" t="s">
        <v>52</v>
      </c>
      <c r="B50" s="40">
        <f>SUM(E47,K47,Q47)</f>
        <v>14227.717000000001</v>
      </c>
      <c r="C50" s="57"/>
      <c r="D50" s="57"/>
    </row>
    <row r="51" spans="1:4" ht="15" customHeight="1">
      <c r="A51" s="41" t="s">
        <v>53</v>
      </c>
      <c r="B51" s="41">
        <v>43</v>
      </c>
      <c r="C51" s="57"/>
      <c r="D51" s="57"/>
    </row>
    <row r="52" spans="1:4" ht="27.95" customHeight="1">
      <c r="A52" s="42" t="s">
        <v>54</v>
      </c>
      <c r="B52" s="43">
        <f>B51*160</f>
        <v>6880</v>
      </c>
      <c r="C52" s="57"/>
      <c r="D52" s="57"/>
    </row>
    <row r="53" spans="1:4" ht="30" customHeight="1">
      <c r="A53" s="44" t="s">
        <v>55</v>
      </c>
      <c r="B53" s="45">
        <f>B50-B52</f>
        <v>7347.7170000000006</v>
      </c>
    </row>
  </sheetData>
  <mergeCells count="34">
    <mergeCell ref="C50:D52"/>
    <mergeCell ref="B43:C43"/>
    <mergeCell ref="D43:E43"/>
    <mergeCell ref="H43:I43"/>
    <mergeCell ref="J43:K43"/>
    <mergeCell ref="N43:O43"/>
    <mergeCell ref="P43:Q43"/>
    <mergeCell ref="D40:E40"/>
    <mergeCell ref="J40:K40"/>
    <mergeCell ref="P40:Q40"/>
    <mergeCell ref="D42:E42"/>
    <mergeCell ref="J42:K42"/>
    <mergeCell ref="P42:Q42"/>
    <mergeCell ref="P31:Q31"/>
    <mergeCell ref="B15:E21"/>
    <mergeCell ref="J19:K19"/>
    <mergeCell ref="J21:K21"/>
    <mergeCell ref="P21:Q21"/>
    <mergeCell ref="H22:I22"/>
    <mergeCell ref="J22:K22"/>
    <mergeCell ref="N22:O22"/>
    <mergeCell ref="P22:Q22"/>
    <mergeCell ref="B31:C31"/>
    <mergeCell ref="D31:E31"/>
    <mergeCell ref="H31:I31"/>
    <mergeCell ref="J31:K31"/>
    <mergeCell ref="N31:O31"/>
    <mergeCell ref="H12:I12"/>
    <mergeCell ref="J12:K12"/>
    <mergeCell ref="R2:U8"/>
    <mergeCell ref="D10:E10"/>
    <mergeCell ref="D11:E11"/>
    <mergeCell ref="N11:O11"/>
    <mergeCell ref="P11:Q11"/>
  </mergeCells>
  <conditionalFormatting sqref="B53">
    <cfRule type="expression" dxfId="90" priority="18">
      <formula>$B$53&gt;0</formula>
    </cfRule>
  </conditionalFormatting>
  <conditionalFormatting sqref="D10">
    <cfRule type="expression" dxfId="89" priority="21" stopIfTrue="1">
      <formula>$C$8&gt;=($C$10+-($C$10*0.1))</formula>
    </cfRule>
    <cfRule type="expression" dxfId="88" priority="22">
      <formula>$C$10&gt;$C$8</formula>
    </cfRule>
  </conditionalFormatting>
  <conditionalFormatting sqref="D42:E42">
    <cfRule type="expression" dxfId="87" priority="6" stopIfTrue="1">
      <formula>C40&gt;=(C42+-(C42*0.1))</formula>
    </cfRule>
    <cfRule type="expression" dxfId="86" priority="7">
      <formula>C42&gt;C40</formula>
    </cfRule>
  </conditionalFormatting>
  <conditionalFormatting sqref="J42">
    <cfRule type="expression" dxfId="85" priority="8" stopIfTrue="1">
      <formula>I40&gt;=(I42+-(I42*0.1))</formula>
    </cfRule>
    <cfRule type="expression" dxfId="84" priority="9">
      <formula>I42&gt;I40</formula>
    </cfRule>
  </conditionalFormatting>
  <conditionalFormatting sqref="J11:K11">
    <cfRule type="expression" dxfId="83" priority="25" stopIfTrue="1">
      <formula>$I9&gt;=($I11+-($I11*0.1))</formula>
    </cfRule>
    <cfRule type="expression" dxfId="82" priority="26">
      <formula>$I11&gt;$I9</formula>
    </cfRule>
  </conditionalFormatting>
  <conditionalFormatting sqref="J21:K21">
    <cfRule type="expression" dxfId="81" priority="14" stopIfTrue="1">
      <formula>I19&gt;=(I21+-(I21*0.1))</formula>
    </cfRule>
    <cfRule type="expression" dxfId="80" priority="15">
      <formula>I21&gt;I19</formula>
    </cfRule>
  </conditionalFormatting>
  <conditionalFormatting sqref="K16:K18">
    <cfRule type="top10" dxfId="79" priority="17" stopIfTrue="1" rank="1"/>
  </conditionalFormatting>
  <conditionalFormatting sqref="K33:K35 K37:K39">
    <cfRule type="top10" dxfId="78" priority="23" stopIfTrue="1" rank="1"/>
  </conditionalFormatting>
  <conditionalFormatting sqref="P21">
    <cfRule type="expression" dxfId="77" priority="12" stopIfTrue="1">
      <formula>O19&gt;=(O21+-(O21*0.1))</formula>
    </cfRule>
    <cfRule type="expression" dxfId="76" priority="13">
      <formula>O21&gt;O19</formula>
    </cfRule>
  </conditionalFormatting>
  <conditionalFormatting sqref="P42">
    <cfRule type="expression" dxfId="75" priority="10" stopIfTrue="1">
      <formula>O40&gt;=(O42+-(O42*0.1))</formula>
    </cfRule>
    <cfRule type="expression" dxfId="74" priority="11">
      <formula>O42&gt;O40</formula>
    </cfRule>
  </conditionalFormatting>
  <conditionalFormatting sqref="P10:Q10">
    <cfRule type="expression" dxfId="73" priority="19" stopIfTrue="1">
      <formula>$O$8&gt;=($O$10+-($O$10*0.1))</formula>
    </cfRule>
    <cfRule type="expression" dxfId="72" priority="20">
      <formula>$O$10&gt;$O$8</formula>
    </cfRule>
  </conditionalFormatting>
  <conditionalFormatting sqref="Q16:Q18">
    <cfRule type="top10" dxfId="71" priority="16" stopIfTrue="1" rank="1"/>
    <cfRule type="top10" dxfId="70" priority="24" rank="1"/>
  </conditionalFormatting>
  <conditionalFormatting sqref="E33:E35 E37:E39">
    <cfRule type="top10" dxfId="69" priority="27" stopIfTrue="1" rank="1"/>
  </conditionalFormatting>
  <conditionalFormatting sqref="Q33:Q35 Q37:Q39">
    <cfRule type="top10" dxfId="68" priority="28" stopIfTrue="1" rank="1"/>
  </conditionalFormatting>
  <conditionalFormatting sqref="E36">
    <cfRule type="top10" dxfId="67" priority="5" stopIfTrue="1" rank="1"/>
  </conditionalFormatting>
  <conditionalFormatting sqref="K36">
    <cfRule type="top10" dxfId="66" priority="4" stopIfTrue="1" rank="1"/>
  </conditionalFormatting>
  <conditionalFormatting sqref="Q36">
    <cfRule type="top10" dxfId="65" priority="3" stopIfTrue="1" rank="1"/>
  </conditionalFormatting>
  <conditionalFormatting sqref="K15">
    <cfRule type="top10" dxfId="64" priority="2" stopIfTrue="1" rank="1"/>
  </conditionalFormatting>
  <conditionalFormatting sqref="Q15">
    <cfRule type="top10" dxfId="63" priority="1" stopIfTrue="1" rank="1"/>
  </conditionalFormatting>
  <conditionalFormatting sqref="Q2:Q7">
    <cfRule type="top10" dxfId="62" priority="29" rank="1"/>
    <cfRule type="top10" dxfId="61" priority="30" stopIfTrue="1" rank="1"/>
  </conditionalFormatting>
  <conditionalFormatting sqref="K2:K8">
    <cfRule type="top10" dxfId="60" priority="31" stopIfTrue="1" rank="1"/>
  </conditionalFormatting>
  <conditionalFormatting sqref="E2:E7">
    <cfRule type="top10" dxfId="59" priority="32" stopIfTrue="1" rank="1"/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3E43-CA71-4348-9DF6-A57DFCAF9D3B}">
  <dimension ref="A1:U53"/>
  <sheetViews>
    <sheetView topLeftCell="A36" zoomScale="125" zoomScaleNormal="100" workbookViewId="0">
      <selection activeCell="I49" sqref="I49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7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47" t="s">
        <v>9</v>
      </c>
      <c r="S2" s="47"/>
      <c r="T2" s="47"/>
      <c r="U2" s="47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4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:K4" si="1">I3*J3</f>
        <v>15.45</v>
      </c>
      <c r="M3" s="8" t="s">
        <v>13</v>
      </c>
      <c r="N3" t="s">
        <v>11</v>
      </c>
      <c r="O3">
        <v>1</v>
      </c>
      <c r="P3" s="6">
        <v>15.45</v>
      </c>
      <c r="Q3" s="6">
        <f t="shared" ref="Q3:Q8" si="2">O3*P3</f>
        <v>15.45</v>
      </c>
      <c r="R3" s="48"/>
      <c r="S3" s="48"/>
      <c r="T3" s="48"/>
      <c r="U3" s="48"/>
    </row>
    <row r="4" spans="1:21">
      <c r="A4" s="8" t="s">
        <v>14</v>
      </c>
      <c r="B4" t="s">
        <v>15</v>
      </c>
      <c r="C4">
        <v>2</v>
      </c>
      <c r="D4" s="6">
        <v>37.5</v>
      </c>
      <c r="E4" s="6">
        <f t="shared" si="0"/>
        <v>75</v>
      </c>
      <c r="G4" s="9">
        <v>0.36458333333333331</v>
      </c>
      <c r="H4" t="s">
        <v>15</v>
      </c>
      <c r="I4">
        <v>1</v>
      </c>
      <c r="J4" s="6">
        <v>37.5</v>
      </c>
      <c r="K4" s="6">
        <f t="shared" si="1"/>
        <v>37.5</v>
      </c>
      <c r="M4" s="9">
        <v>0.36458333333333331</v>
      </c>
      <c r="N4" t="s">
        <v>15</v>
      </c>
      <c r="O4">
        <v>1</v>
      </c>
      <c r="P4" s="6">
        <v>37.5</v>
      </c>
      <c r="Q4" s="6">
        <f t="shared" si="2"/>
        <v>37.5</v>
      </c>
      <c r="R4" s="48"/>
      <c r="S4" s="48"/>
      <c r="T4" s="48"/>
      <c r="U4" s="48"/>
    </row>
    <row r="5" spans="1:21">
      <c r="B5" t="s">
        <v>16</v>
      </c>
      <c r="C5">
        <v>7</v>
      </c>
      <c r="D5" s="6">
        <v>36</v>
      </c>
      <c r="E5" s="6">
        <f>C5*D5</f>
        <v>252</v>
      </c>
      <c r="H5" t="s">
        <v>16</v>
      </c>
      <c r="I5">
        <v>7</v>
      </c>
      <c r="J5" s="6">
        <v>36</v>
      </c>
      <c r="K5" s="6">
        <f>I5*J5</f>
        <v>252</v>
      </c>
      <c r="N5" t="s">
        <v>16</v>
      </c>
      <c r="O5">
        <v>7</v>
      </c>
      <c r="P5" s="6">
        <v>36</v>
      </c>
      <c r="Q5" s="6">
        <f>O5*P5</f>
        <v>252</v>
      </c>
      <c r="R5" s="48"/>
      <c r="S5" s="48"/>
      <c r="T5" s="48"/>
      <c r="U5" s="48"/>
    </row>
    <row r="6" spans="1:21">
      <c r="B6" t="s">
        <v>17</v>
      </c>
      <c r="C6">
        <v>4</v>
      </c>
      <c r="D6" s="6">
        <v>36</v>
      </c>
      <c r="E6" s="6">
        <f>C6*D6</f>
        <v>144</v>
      </c>
      <c r="H6" t="s">
        <v>18</v>
      </c>
      <c r="I6">
        <v>4</v>
      </c>
      <c r="J6" s="6">
        <v>36</v>
      </c>
      <c r="K6" s="6">
        <f>I6*J6</f>
        <v>144</v>
      </c>
      <c r="N6" t="s">
        <v>19</v>
      </c>
      <c r="O6">
        <v>4</v>
      </c>
      <c r="P6" s="6">
        <v>36</v>
      </c>
      <c r="Q6" s="6">
        <f>O6*P6</f>
        <v>144</v>
      </c>
      <c r="R6" s="48"/>
      <c r="S6" s="48"/>
      <c r="T6" s="48"/>
      <c r="U6" s="48"/>
    </row>
    <row r="7" spans="1:21" ht="15.95" thickBot="1">
      <c r="B7" t="s">
        <v>19</v>
      </c>
      <c r="C7">
        <v>4</v>
      </c>
      <c r="D7" s="6">
        <v>36</v>
      </c>
      <c r="E7" s="6">
        <f>C7*D7</f>
        <v>144</v>
      </c>
      <c r="H7" t="s">
        <v>20</v>
      </c>
      <c r="I7">
        <v>4</v>
      </c>
      <c r="J7" s="6">
        <v>36</v>
      </c>
      <c r="K7" s="6">
        <f>I7*J7</f>
        <v>144</v>
      </c>
      <c r="N7" t="s">
        <v>20</v>
      </c>
      <c r="O7">
        <v>4</v>
      </c>
      <c r="P7" s="6">
        <v>36</v>
      </c>
      <c r="Q7" s="6">
        <f>O7*P7</f>
        <v>144</v>
      </c>
      <c r="R7" s="48"/>
      <c r="S7" s="48"/>
      <c r="T7" s="48"/>
      <c r="U7" s="48"/>
    </row>
    <row r="8" spans="1:21" ht="27.95" customHeight="1" thickBot="1">
      <c r="B8" s="11" t="s">
        <v>21</v>
      </c>
      <c r="C8" s="12">
        <f>12*C5</f>
        <v>84</v>
      </c>
      <c r="D8" s="13" t="s">
        <v>22</v>
      </c>
      <c r="E8" s="14"/>
      <c r="N8" s="11" t="s">
        <v>23</v>
      </c>
      <c r="O8" s="12">
        <f>12*O5</f>
        <v>84</v>
      </c>
      <c r="P8" s="15" t="s">
        <v>24</v>
      </c>
      <c r="Q8" s="16"/>
      <c r="R8" s="48"/>
      <c r="S8" s="48"/>
      <c r="T8" s="48"/>
      <c r="U8" s="48"/>
    </row>
    <row r="9" spans="1:21" ht="15.95" customHeight="1" thickBot="1">
      <c r="B9" s="17" t="s">
        <v>25</v>
      </c>
      <c r="C9" s="18">
        <f>E9/C8</f>
        <v>7.5690476190476188</v>
      </c>
      <c r="D9" s="18" t="s">
        <v>26</v>
      </c>
      <c r="E9" s="18">
        <f>SUM(E2:E6)</f>
        <v>635.79999999999995</v>
      </c>
      <c r="H9" s="11" t="s">
        <v>27</v>
      </c>
      <c r="I9" s="12">
        <f>12*I5</f>
        <v>84</v>
      </c>
      <c r="J9" s="15" t="s">
        <v>24</v>
      </c>
      <c r="K9" s="16"/>
      <c r="N9" s="17" t="s">
        <v>28</v>
      </c>
      <c r="O9" s="18">
        <f>Q9/O8</f>
        <v>10.614880952380952</v>
      </c>
      <c r="P9" s="18" t="s">
        <v>26</v>
      </c>
      <c r="Q9" s="18">
        <f>SUM(Q2:Q7)</f>
        <v>891.65</v>
      </c>
    </row>
    <row r="10" spans="1:21">
      <c r="B10" s="19" t="s">
        <v>29</v>
      </c>
      <c r="C10" s="19">
        <v>85</v>
      </c>
      <c r="D10" s="46" t="s">
        <v>30</v>
      </c>
      <c r="E10" s="46"/>
      <c r="H10" s="17" t="s">
        <v>28</v>
      </c>
      <c r="I10" s="18">
        <f>K10/I9</f>
        <v>10.614880952380952</v>
      </c>
      <c r="J10" s="18" t="s">
        <v>26</v>
      </c>
      <c r="K10" s="18">
        <f>SUM(K2:K8)</f>
        <v>891.65</v>
      </c>
      <c r="N10" s="19" t="s">
        <v>31</v>
      </c>
      <c r="O10" s="19">
        <v>85</v>
      </c>
      <c r="P10" s="20" t="s">
        <v>30</v>
      </c>
      <c r="Q10" s="20"/>
    </row>
    <row r="11" spans="1:21">
      <c r="B11" s="21" t="s">
        <v>32</v>
      </c>
      <c r="C11" s="21"/>
      <c r="D11" s="54">
        <f>E9/42</f>
        <v>15.138095238095238</v>
      </c>
      <c r="E11" s="54"/>
      <c r="H11" s="19" t="s">
        <v>31</v>
      </c>
      <c r="I11" s="19">
        <v>85</v>
      </c>
      <c r="J11" s="20" t="s">
        <v>30</v>
      </c>
      <c r="K11" s="20"/>
      <c r="N11" s="53" t="s">
        <v>32</v>
      </c>
      <c r="O11" s="53"/>
      <c r="P11" s="54">
        <f>Q9/42</f>
        <v>21.229761904761904</v>
      </c>
      <c r="Q11" s="54"/>
    </row>
    <row r="12" spans="1:21">
      <c r="H12" s="53" t="s">
        <v>32</v>
      </c>
      <c r="I12" s="53"/>
      <c r="J12" s="54">
        <f>K10/42</f>
        <v>21.229761904761904</v>
      </c>
      <c r="K12" s="54"/>
    </row>
    <row r="14" spans="1:21" ht="15" customHeight="1">
      <c r="N14" s="23"/>
      <c r="O14" s="23"/>
      <c r="P14" s="24"/>
      <c r="Q14" s="24"/>
    </row>
    <row r="15" spans="1:21" ht="32.1">
      <c r="A15" s="25" t="s">
        <v>33</v>
      </c>
      <c r="B15" s="55" t="s">
        <v>34</v>
      </c>
      <c r="C15" s="55"/>
      <c r="D15" s="55"/>
      <c r="E15" s="55"/>
      <c r="G15" s="25" t="s">
        <v>33</v>
      </c>
      <c r="H15" t="s">
        <v>35</v>
      </c>
      <c r="I15">
        <v>2</v>
      </c>
      <c r="J15" s="6">
        <v>98</v>
      </c>
      <c r="K15" s="6">
        <f t="shared" ref="K15:K18" si="3">I15*J15</f>
        <v>196</v>
      </c>
      <c r="M15" s="25" t="s">
        <v>33</v>
      </c>
      <c r="N15" t="s">
        <v>35</v>
      </c>
      <c r="O15">
        <v>2</v>
      </c>
      <c r="P15" s="6">
        <v>98</v>
      </c>
      <c r="Q15" s="6">
        <f t="shared" ref="Q15:Q18" si="4">O15*P15</f>
        <v>196</v>
      </c>
    </row>
    <row r="16" spans="1:21" ht="15.95">
      <c r="B16" s="55"/>
      <c r="C16" s="55"/>
      <c r="D16" s="55"/>
      <c r="E16" s="55"/>
      <c r="G16" s="26" t="s">
        <v>13</v>
      </c>
      <c r="H16" t="s">
        <v>36</v>
      </c>
      <c r="I16">
        <v>7</v>
      </c>
      <c r="J16" s="6">
        <v>18.95</v>
      </c>
      <c r="K16" s="6">
        <f t="shared" si="3"/>
        <v>132.65</v>
      </c>
      <c r="M16" s="26" t="s">
        <v>13</v>
      </c>
      <c r="N16" t="s">
        <v>37</v>
      </c>
      <c r="O16">
        <v>1</v>
      </c>
      <c r="P16" s="6">
        <v>149.35</v>
      </c>
      <c r="Q16" s="6">
        <f t="shared" si="4"/>
        <v>149.35</v>
      </c>
    </row>
    <row r="17" spans="1:17">
      <c r="B17" s="55"/>
      <c r="C17" s="55"/>
      <c r="D17" s="55"/>
      <c r="E17" s="55"/>
      <c r="H17" t="s">
        <v>37</v>
      </c>
      <c r="I17">
        <v>1</v>
      </c>
      <c r="J17" s="6">
        <v>149.35</v>
      </c>
      <c r="K17" s="6">
        <f t="shared" si="3"/>
        <v>149.35</v>
      </c>
      <c r="N17" t="s">
        <v>36</v>
      </c>
      <c r="O17">
        <v>7</v>
      </c>
      <c r="P17" s="6">
        <v>18.95</v>
      </c>
      <c r="Q17" s="6">
        <f t="shared" si="4"/>
        <v>132.65</v>
      </c>
    </row>
    <row r="18" spans="1:17" ht="15.95" thickBot="1">
      <c r="B18" s="55"/>
      <c r="C18" s="55"/>
      <c r="D18" s="55"/>
      <c r="E18" s="55"/>
      <c r="H18" t="s">
        <v>38</v>
      </c>
      <c r="I18">
        <v>7</v>
      </c>
      <c r="J18" s="6">
        <v>36</v>
      </c>
      <c r="K18" s="6">
        <f t="shared" si="3"/>
        <v>252</v>
      </c>
      <c r="N18" t="s">
        <v>38</v>
      </c>
      <c r="O18">
        <v>7</v>
      </c>
      <c r="P18" s="6">
        <v>36</v>
      </c>
      <c r="Q18" s="6">
        <f t="shared" si="4"/>
        <v>252</v>
      </c>
    </row>
    <row r="19" spans="1:17" ht="15.95" thickBot="1">
      <c r="B19" s="55"/>
      <c r="C19" s="55"/>
      <c r="D19" s="55"/>
      <c r="E19" s="55"/>
      <c r="H19" s="11" t="s">
        <v>23</v>
      </c>
      <c r="I19" s="12">
        <f>12*I16</f>
        <v>84</v>
      </c>
      <c r="J19" s="51" t="s">
        <v>39</v>
      </c>
      <c r="K19" s="52"/>
      <c r="N19" s="11" t="s">
        <v>27</v>
      </c>
      <c r="O19" s="12">
        <f>12*O17</f>
        <v>84</v>
      </c>
      <c r="P19" s="15"/>
      <c r="Q19" s="16"/>
    </row>
    <row r="20" spans="1:17">
      <c r="B20" s="55"/>
      <c r="C20" s="55"/>
      <c r="D20" s="55"/>
      <c r="E20" s="55"/>
      <c r="H20" s="17" t="s">
        <v>28</v>
      </c>
      <c r="I20" s="18">
        <f>K20/I19</f>
        <v>8.6904761904761898</v>
      </c>
      <c r="J20" s="18" t="s">
        <v>26</v>
      </c>
      <c r="K20" s="18">
        <f>SUM(K15:K18)</f>
        <v>730</v>
      </c>
      <c r="N20" s="17" t="s">
        <v>28</v>
      </c>
      <c r="O20" s="18">
        <f>Q20/O19</f>
        <v>6.3571428571428568</v>
      </c>
      <c r="P20" s="18" t="s">
        <v>26</v>
      </c>
      <c r="Q20" s="18">
        <f>SUM(Q16:Q18)</f>
        <v>534</v>
      </c>
    </row>
    <row r="21" spans="1:17">
      <c r="B21" s="55"/>
      <c r="C21" s="55"/>
      <c r="D21" s="55"/>
      <c r="E21" s="55"/>
      <c r="H21" s="19" t="s">
        <v>31</v>
      </c>
      <c r="I21" s="19">
        <v>85</v>
      </c>
      <c r="J21" s="46" t="s">
        <v>30</v>
      </c>
      <c r="K21" s="46"/>
      <c r="N21" s="19" t="s">
        <v>31</v>
      </c>
      <c r="O21" s="19">
        <v>85</v>
      </c>
      <c r="P21" s="46" t="s">
        <v>30</v>
      </c>
      <c r="Q21" s="46"/>
    </row>
    <row r="22" spans="1:17">
      <c r="B22" s="27"/>
      <c r="C22" s="27"/>
      <c r="D22" s="27"/>
      <c r="E22" s="27"/>
      <c r="H22" s="53" t="s">
        <v>32</v>
      </c>
      <c r="I22" s="53"/>
      <c r="J22" s="54">
        <f>K20/42</f>
        <v>17.38095238095238</v>
      </c>
      <c r="K22" s="54"/>
      <c r="N22" s="53" t="s">
        <v>32</v>
      </c>
      <c r="O22" s="53"/>
      <c r="P22" s="54">
        <f>Q20/42</f>
        <v>12.714285714285714</v>
      </c>
      <c r="Q22" s="54"/>
    </row>
    <row r="24" spans="1:17" s="29" customFormat="1">
      <c r="A24" s="28" t="s">
        <v>40</v>
      </c>
      <c r="B24" s="29" t="s">
        <v>56</v>
      </c>
      <c r="C24" s="29">
        <v>85</v>
      </c>
      <c r="D24" s="30">
        <f>E24/C24</f>
        <v>22.136470588235294</v>
      </c>
      <c r="E24" s="30">
        <f>SUM(E25:E32)</f>
        <v>1881.6</v>
      </c>
      <c r="F24" s="7"/>
      <c r="G24" s="28" t="s">
        <v>40</v>
      </c>
      <c r="H24" s="29" t="s">
        <v>56</v>
      </c>
      <c r="I24" s="29">
        <v>85</v>
      </c>
      <c r="J24" s="30">
        <f>K24/I24</f>
        <v>22.136470588235294</v>
      </c>
      <c r="K24" s="30">
        <f>SUM(K25:K32)</f>
        <v>1881.6</v>
      </c>
      <c r="L24" s="7"/>
      <c r="M24" s="28" t="s">
        <v>40</v>
      </c>
      <c r="N24" s="29" t="s">
        <v>56</v>
      </c>
      <c r="O24" s="29">
        <v>70</v>
      </c>
      <c r="P24" s="30">
        <f>Q24/O24</f>
        <v>21.645714285714288</v>
      </c>
      <c r="Q24" s="30">
        <f>SUM(Q25:Q31)</f>
        <v>1515.2</v>
      </c>
    </row>
    <row r="25" spans="1:17">
      <c r="A25" s="10" t="s">
        <v>13</v>
      </c>
      <c r="B25" t="s">
        <v>57</v>
      </c>
      <c r="C25">
        <v>4</v>
      </c>
      <c r="D25" s="6">
        <v>96</v>
      </c>
      <c r="E25" s="6">
        <f>D25*C25</f>
        <v>384</v>
      </c>
      <c r="F25"/>
      <c r="G25" s="10" t="s">
        <v>13</v>
      </c>
      <c r="H25" t="s">
        <v>57</v>
      </c>
      <c r="I25">
        <v>4</v>
      </c>
      <c r="J25" s="6">
        <v>96</v>
      </c>
      <c r="K25" s="6">
        <f>J25*I25</f>
        <v>384</v>
      </c>
      <c r="L25"/>
      <c r="M25" s="10" t="s">
        <v>13</v>
      </c>
      <c r="N25" t="s">
        <v>57</v>
      </c>
      <c r="O25">
        <v>3</v>
      </c>
      <c r="P25" s="6">
        <v>96</v>
      </c>
      <c r="Q25" s="6">
        <f>P25*O25</f>
        <v>288</v>
      </c>
    </row>
    <row r="26" spans="1:17">
      <c r="B26" t="s">
        <v>58</v>
      </c>
      <c r="C26">
        <v>4</v>
      </c>
      <c r="D26" s="6">
        <v>96</v>
      </c>
      <c r="E26" s="6">
        <f>D26*C26</f>
        <v>384</v>
      </c>
      <c r="F26"/>
      <c r="H26" t="s">
        <v>58</v>
      </c>
      <c r="I26">
        <v>4</v>
      </c>
      <c r="J26" s="6">
        <v>96</v>
      </c>
      <c r="K26" s="6">
        <f>J26*I26</f>
        <v>384</v>
      </c>
      <c r="L26"/>
      <c r="N26" t="s">
        <v>58</v>
      </c>
      <c r="O26">
        <v>3</v>
      </c>
      <c r="P26" s="6">
        <v>96</v>
      </c>
      <c r="Q26" s="6">
        <f>P26*O26</f>
        <v>288</v>
      </c>
    </row>
    <row r="27" spans="1:17">
      <c r="B27" t="s">
        <v>16</v>
      </c>
      <c r="C27">
        <v>5</v>
      </c>
      <c r="D27" s="6">
        <v>36</v>
      </c>
      <c r="E27" s="6">
        <f t="shared" ref="E27:E29" si="5">D27*C27</f>
        <v>180</v>
      </c>
      <c r="F27"/>
      <c r="H27" t="s">
        <v>16</v>
      </c>
      <c r="I27">
        <v>5</v>
      </c>
      <c r="J27" s="6">
        <v>36</v>
      </c>
      <c r="K27" s="6">
        <f t="shared" ref="K27:K29" si="6">J27*I27</f>
        <v>180</v>
      </c>
      <c r="L27"/>
      <c r="N27" t="s">
        <v>16</v>
      </c>
      <c r="O27">
        <v>4</v>
      </c>
      <c r="P27" s="6">
        <v>36</v>
      </c>
      <c r="Q27" s="6">
        <f t="shared" ref="Q27:Q29" si="7">P27*O27</f>
        <v>144</v>
      </c>
    </row>
    <row r="28" spans="1:17">
      <c r="B28" t="s">
        <v>59</v>
      </c>
      <c r="C28">
        <v>8</v>
      </c>
      <c r="D28" s="6">
        <v>48</v>
      </c>
      <c r="E28" s="6">
        <f t="shared" si="5"/>
        <v>384</v>
      </c>
      <c r="F28"/>
      <c r="H28" t="s">
        <v>59</v>
      </c>
      <c r="I28">
        <v>8</v>
      </c>
      <c r="J28" s="6">
        <v>48</v>
      </c>
      <c r="K28" s="6">
        <f t="shared" si="6"/>
        <v>384</v>
      </c>
      <c r="L28"/>
      <c r="N28" t="s">
        <v>59</v>
      </c>
      <c r="O28">
        <v>6</v>
      </c>
      <c r="P28" s="6">
        <v>48</v>
      </c>
      <c r="Q28" s="6">
        <f t="shared" si="7"/>
        <v>288</v>
      </c>
    </row>
    <row r="29" spans="1:17">
      <c r="B29" t="s">
        <v>60</v>
      </c>
      <c r="C29">
        <v>8</v>
      </c>
      <c r="D29" s="6">
        <v>48</v>
      </c>
      <c r="E29" s="6">
        <f t="shared" si="5"/>
        <v>384</v>
      </c>
      <c r="F29"/>
      <c r="H29" t="s">
        <v>61</v>
      </c>
      <c r="I29">
        <v>8</v>
      </c>
      <c r="J29" s="6">
        <v>48</v>
      </c>
      <c r="K29" s="6">
        <f t="shared" si="6"/>
        <v>384</v>
      </c>
      <c r="L29"/>
      <c r="N29" t="s">
        <v>62</v>
      </c>
      <c r="O29">
        <v>6</v>
      </c>
      <c r="P29" s="6">
        <v>60</v>
      </c>
      <c r="Q29" s="6">
        <f t="shared" si="7"/>
        <v>360</v>
      </c>
    </row>
    <row r="30" spans="1:17">
      <c r="B30" t="s">
        <v>63</v>
      </c>
      <c r="C30">
        <v>90</v>
      </c>
      <c r="D30" s="6">
        <v>1.84</v>
      </c>
      <c r="E30" s="6">
        <f>D30*C30</f>
        <v>165.6</v>
      </c>
      <c r="F30"/>
      <c r="H30" t="s">
        <v>63</v>
      </c>
      <c r="I30">
        <v>90</v>
      </c>
      <c r="J30" s="6">
        <v>1.84</v>
      </c>
      <c r="K30" s="6">
        <f>J30*I30</f>
        <v>165.6</v>
      </c>
      <c r="L30"/>
      <c r="N30" t="s">
        <v>63</v>
      </c>
      <c r="O30">
        <v>80</v>
      </c>
      <c r="P30" s="6">
        <v>1.84</v>
      </c>
      <c r="Q30" s="6">
        <f>P30*O30</f>
        <v>147.20000000000002</v>
      </c>
    </row>
    <row r="31" spans="1:17">
      <c r="B31" s="53" t="s">
        <v>32</v>
      </c>
      <c r="C31" s="53"/>
      <c r="D31" s="54">
        <f>E24/42</f>
        <v>44.8</v>
      </c>
      <c r="E31" s="54"/>
      <c r="F31"/>
      <c r="H31" s="53" t="s">
        <v>32</v>
      </c>
      <c r="I31" s="53"/>
      <c r="J31" s="54">
        <f>K24/42</f>
        <v>44.8</v>
      </c>
      <c r="K31" s="54"/>
      <c r="L31"/>
      <c r="N31" s="53" t="s">
        <v>32</v>
      </c>
      <c r="O31" s="53"/>
      <c r="P31" s="54">
        <f>Q24/42</f>
        <v>36.076190476190476</v>
      </c>
      <c r="Q31" s="54"/>
    </row>
    <row r="32" spans="1:17">
      <c r="D32"/>
      <c r="E32"/>
      <c r="F32"/>
      <c r="L32"/>
      <c r="P32"/>
      <c r="Q32"/>
    </row>
    <row r="33" spans="1:17" ht="32.1">
      <c r="A33" s="25" t="s">
        <v>42</v>
      </c>
      <c r="B33" t="s">
        <v>8</v>
      </c>
      <c r="C33">
        <v>2</v>
      </c>
      <c r="D33" s="6">
        <v>149.35</v>
      </c>
      <c r="E33" s="6">
        <f>C33*D33</f>
        <v>298.7</v>
      </c>
      <c r="G33" s="25" t="s">
        <v>42</v>
      </c>
      <c r="H33" t="s">
        <v>8</v>
      </c>
      <c r="I33">
        <v>2</v>
      </c>
      <c r="J33" s="6">
        <v>149.35</v>
      </c>
      <c r="K33" s="6">
        <f>I33*J33</f>
        <v>298.7</v>
      </c>
      <c r="M33" s="25" t="s">
        <v>43</v>
      </c>
      <c r="N33" t="s">
        <v>8</v>
      </c>
      <c r="O33">
        <v>2</v>
      </c>
      <c r="P33" s="6">
        <v>149.35</v>
      </c>
      <c r="Q33" s="6">
        <f>O33*P33</f>
        <v>298.7</v>
      </c>
    </row>
    <row r="34" spans="1:17">
      <c r="A34" t="s">
        <v>10</v>
      </c>
      <c r="B34" t="s">
        <v>11</v>
      </c>
      <c r="C34">
        <v>1</v>
      </c>
      <c r="D34" s="6">
        <v>15.45</v>
      </c>
      <c r="E34" s="6">
        <f t="shared" ref="E34:E39" si="8">C34*D34</f>
        <v>15.45</v>
      </c>
      <c r="G34" s="31" t="s">
        <v>44</v>
      </c>
      <c r="H34" t="s">
        <v>11</v>
      </c>
      <c r="I34">
        <v>1</v>
      </c>
      <c r="J34" s="6">
        <v>15.45</v>
      </c>
      <c r="K34" s="6">
        <f t="shared" ref="K34:K38" si="9">I34*J34</f>
        <v>15.45</v>
      </c>
      <c r="M34" s="8" t="s">
        <v>45</v>
      </c>
      <c r="N34" t="s">
        <v>11</v>
      </c>
      <c r="O34">
        <v>1</v>
      </c>
      <c r="P34" s="6">
        <v>15.45</v>
      </c>
      <c r="Q34" s="6">
        <f t="shared" ref="Q34:Q39" si="10">O34*P34</f>
        <v>15.45</v>
      </c>
    </row>
    <row r="35" spans="1:17">
      <c r="A35" s="8" t="s">
        <v>46</v>
      </c>
      <c r="B35" t="s">
        <v>15</v>
      </c>
      <c r="C35">
        <v>2</v>
      </c>
      <c r="D35" s="6">
        <v>37.5</v>
      </c>
      <c r="E35" s="6">
        <f t="shared" si="8"/>
        <v>75</v>
      </c>
      <c r="G35" s="32">
        <v>0.625</v>
      </c>
      <c r="H35" t="s">
        <v>15</v>
      </c>
      <c r="I35">
        <v>2</v>
      </c>
      <c r="J35" s="6">
        <v>37.5</v>
      </c>
      <c r="K35" s="6">
        <f t="shared" si="9"/>
        <v>75</v>
      </c>
      <c r="M35" s="8" t="s">
        <v>46</v>
      </c>
      <c r="N35" t="s">
        <v>15</v>
      </c>
      <c r="O35">
        <v>2</v>
      </c>
      <c r="P35" s="6">
        <v>37.5</v>
      </c>
      <c r="Q35" s="6">
        <f t="shared" si="10"/>
        <v>75</v>
      </c>
    </row>
    <row r="36" spans="1:17">
      <c r="M36" s="8"/>
    </row>
    <row r="37" spans="1:17">
      <c r="B37" t="s">
        <v>47</v>
      </c>
      <c r="C37">
        <v>4</v>
      </c>
      <c r="D37" s="6">
        <v>54</v>
      </c>
      <c r="E37" s="6">
        <f t="shared" si="8"/>
        <v>216</v>
      </c>
      <c r="H37" t="s">
        <v>47</v>
      </c>
      <c r="I37">
        <v>4</v>
      </c>
      <c r="J37" s="6">
        <v>54</v>
      </c>
      <c r="K37" s="6">
        <f t="shared" si="9"/>
        <v>216</v>
      </c>
      <c r="N37" t="s">
        <v>47</v>
      </c>
      <c r="O37">
        <v>4</v>
      </c>
      <c r="P37" s="6">
        <v>54</v>
      </c>
      <c r="Q37" s="6">
        <f t="shared" si="10"/>
        <v>216</v>
      </c>
    </row>
    <row r="38" spans="1:17">
      <c r="B38" t="s">
        <v>16</v>
      </c>
      <c r="C38">
        <v>5</v>
      </c>
      <c r="D38" s="6">
        <v>36</v>
      </c>
      <c r="E38" s="6">
        <f t="shared" si="8"/>
        <v>180</v>
      </c>
      <c r="H38" t="s">
        <v>16</v>
      </c>
      <c r="I38">
        <v>5</v>
      </c>
      <c r="J38" s="6">
        <v>36</v>
      </c>
      <c r="K38" s="6">
        <f t="shared" si="9"/>
        <v>180</v>
      </c>
      <c r="N38" t="s">
        <v>16</v>
      </c>
      <c r="O38">
        <v>5</v>
      </c>
      <c r="P38" s="6">
        <v>36</v>
      </c>
      <c r="Q38" s="6">
        <f t="shared" si="10"/>
        <v>180</v>
      </c>
    </row>
    <row r="39" spans="1:17" ht="15.95" thickBot="1">
      <c r="B39" t="s">
        <v>48</v>
      </c>
      <c r="C39">
        <v>7</v>
      </c>
      <c r="D39" s="6">
        <v>18.95</v>
      </c>
      <c r="E39" s="6">
        <f t="shared" si="8"/>
        <v>132.65</v>
      </c>
      <c r="H39" t="s">
        <v>48</v>
      </c>
      <c r="I39">
        <v>7</v>
      </c>
      <c r="J39" s="6">
        <v>18.95</v>
      </c>
      <c r="K39" s="6">
        <f>I39*J39</f>
        <v>132.65</v>
      </c>
      <c r="N39" t="s">
        <v>48</v>
      </c>
      <c r="O39">
        <v>7</v>
      </c>
      <c r="P39" s="6">
        <v>18.95</v>
      </c>
      <c r="Q39" s="6">
        <f t="shared" si="10"/>
        <v>132.65</v>
      </c>
    </row>
    <row r="40" spans="1:17" ht="29.1" customHeight="1" thickBot="1">
      <c r="B40" s="33" t="s">
        <v>21</v>
      </c>
      <c r="C40" s="34">
        <f>12*C39</f>
        <v>84</v>
      </c>
      <c r="D40" s="49" t="s">
        <v>22</v>
      </c>
      <c r="E40" s="50"/>
      <c r="H40" s="33" t="s">
        <v>21</v>
      </c>
      <c r="I40" s="34">
        <f>12*I39</f>
        <v>84</v>
      </c>
      <c r="J40" s="49" t="s">
        <v>22</v>
      </c>
      <c r="K40" s="56"/>
      <c r="N40" s="33" t="s">
        <v>21</v>
      </c>
      <c r="O40" s="34">
        <f>O39*12</f>
        <v>84</v>
      </c>
      <c r="P40" s="49" t="s">
        <v>22</v>
      </c>
      <c r="Q40" s="56"/>
    </row>
    <row r="41" spans="1:17" ht="29.1" customHeight="1">
      <c r="B41" s="17" t="s">
        <v>28</v>
      </c>
      <c r="C41" s="18">
        <f>E41/C40</f>
        <v>10.926190476190476</v>
      </c>
      <c r="D41" s="18" t="s">
        <v>26</v>
      </c>
      <c r="E41" s="18">
        <f>SUM(E33:E39)</f>
        <v>917.8</v>
      </c>
      <c r="H41" s="17" t="s">
        <v>28</v>
      </c>
      <c r="I41" s="18">
        <f>K41/I40</f>
        <v>10.926190476190476</v>
      </c>
      <c r="J41" s="18" t="s">
        <v>26</v>
      </c>
      <c r="K41" s="18">
        <f>SUM(K33:K39)</f>
        <v>917.8</v>
      </c>
      <c r="N41" s="17" t="s">
        <v>28</v>
      </c>
      <c r="O41" s="18">
        <f>Q41/O40</f>
        <v>10.926190476190476</v>
      </c>
      <c r="P41" s="18" t="s">
        <v>26</v>
      </c>
      <c r="Q41" s="18">
        <f>SUM(Q33:Q39)</f>
        <v>917.8</v>
      </c>
    </row>
    <row r="42" spans="1:17" ht="18" customHeight="1">
      <c r="B42" s="19" t="s">
        <v>31</v>
      </c>
      <c r="C42" s="19">
        <v>85</v>
      </c>
      <c r="D42" s="46" t="s">
        <v>30</v>
      </c>
      <c r="E42" s="46"/>
      <c r="H42" s="19" t="s">
        <v>31</v>
      </c>
      <c r="I42" s="19">
        <v>85</v>
      </c>
      <c r="J42" s="46" t="s">
        <v>30</v>
      </c>
      <c r="K42" s="46"/>
      <c r="N42" s="19" t="s">
        <v>31</v>
      </c>
      <c r="O42" s="19">
        <v>85</v>
      </c>
      <c r="P42" s="46" t="s">
        <v>30</v>
      </c>
      <c r="Q42" s="46"/>
    </row>
    <row r="43" spans="1:17" ht="17.100000000000001" customHeight="1">
      <c r="B43" s="53" t="s">
        <v>32</v>
      </c>
      <c r="C43" s="53"/>
      <c r="D43" s="54">
        <f>E41/42</f>
        <v>21.852380952380951</v>
      </c>
      <c r="E43" s="54"/>
      <c r="H43" s="53" t="s">
        <v>32</v>
      </c>
      <c r="I43" s="53"/>
      <c r="J43" s="54">
        <f>K41/42</f>
        <v>21.852380952380951</v>
      </c>
      <c r="K43" s="54"/>
      <c r="N43" s="53" t="s">
        <v>32</v>
      </c>
      <c r="O43" s="53"/>
      <c r="P43" s="54">
        <f>Q41/42</f>
        <v>21.852380952380951</v>
      </c>
      <c r="Q43" s="54"/>
    </row>
    <row r="44" spans="1:17" ht="15" customHeight="1">
      <c r="A44" s="35"/>
      <c r="B44" s="36"/>
      <c r="C44" s="36"/>
      <c r="D44" s="37"/>
      <c r="E44" s="37"/>
      <c r="F44" s="38"/>
      <c r="G44" s="35"/>
      <c r="L44" s="38"/>
      <c r="M44" s="35"/>
    </row>
    <row r="45" spans="1:17" ht="15" customHeight="1">
      <c r="A45" s="10" t="s">
        <v>49</v>
      </c>
      <c r="E45" s="6">
        <f>SUM(E41,E9,E24)</f>
        <v>3435.2</v>
      </c>
      <c r="K45" s="6">
        <f>SUM(K41,Q9,K24,K20)</f>
        <v>4421.0499999999993</v>
      </c>
      <c r="Q45" s="6">
        <f>SUM(Q41,Q24,Q20,K10)</f>
        <v>3858.65</v>
      </c>
    </row>
    <row r="46" spans="1:17" ht="15" customHeight="1">
      <c r="A46" s="10" t="s">
        <v>50</v>
      </c>
      <c r="E46" s="6">
        <f>E45*0.13</f>
        <v>446.57599999999996</v>
      </c>
      <c r="K46" s="6">
        <f>K45*0.13</f>
        <v>574.73649999999998</v>
      </c>
      <c r="Q46" s="6">
        <f>Q45*0.13</f>
        <v>501.62450000000001</v>
      </c>
    </row>
    <row r="47" spans="1:17" ht="15" customHeight="1">
      <c r="A47" s="10" t="s">
        <v>51</v>
      </c>
      <c r="E47" s="6">
        <f>E45+E46</f>
        <v>3881.7759999999998</v>
      </c>
      <c r="K47" s="6">
        <f>K45+K46</f>
        <v>4995.7864999999993</v>
      </c>
      <c r="Q47" s="6">
        <f>Q45+Q46</f>
        <v>4360.2745000000004</v>
      </c>
    </row>
    <row r="49" spans="1:4" ht="15" customHeight="1" thickBot="1"/>
    <row r="50" spans="1:4" ht="15" customHeight="1" thickBot="1">
      <c r="A50" s="39" t="s">
        <v>52</v>
      </c>
      <c r="B50" s="40">
        <f>SUM(E47,K47,Q47)</f>
        <v>13237.837</v>
      </c>
      <c r="C50" s="57"/>
      <c r="D50" s="57"/>
    </row>
    <row r="51" spans="1:4" ht="15" customHeight="1">
      <c r="A51" s="41" t="s">
        <v>53</v>
      </c>
      <c r="B51" s="41">
        <v>43</v>
      </c>
      <c r="C51" s="57"/>
      <c r="D51" s="57"/>
    </row>
    <row r="52" spans="1:4" ht="27.95" customHeight="1">
      <c r="A52" s="42" t="s">
        <v>54</v>
      </c>
      <c r="B52" s="43">
        <f>B51*160</f>
        <v>6880</v>
      </c>
      <c r="C52" s="57"/>
      <c r="D52" s="57"/>
    </row>
    <row r="53" spans="1:4" ht="30" customHeight="1">
      <c r="A53" s="44" t="s">
        <v>55</v>
      </c>
      <c r="B53" s="45">
        <f>B50-B52</f>
        <v>6357.8369999999995</v>
      </c>
    </row>
  </sheetData>
  <mergeCells count="34">
    <mergeCell ref="C50:D52"/>
    <mergeCell ref="B43:C43"/>
    <mergeCell ref="D43:E43"/>
    <mergeCell ref="H43:I43"/>
    <mergeCell ref="J43:K43"/>
    <mergeCell ref="N43:O43"/>
    <mergeCell ref="P43:Q43"/>
    <mergeCell ref="D40:E40"/>
    <mergeCell ref="J40:K40"/>
    <mergeCell ref="P40:Q40"/>
    <mergeCell ref="D42:E42"/>
    <mergeCell ref="J42:K42"/>
    <mergeCell ref="P42:Q42"/>
    <mergeCell ref="P31:Q31"/>
    <mergeCell ref="B15:E21"/>
    <mergeCell ref="J19:K19"/>
    <mergeCell ref="J21:K21"/>
    <mergeCell ref="P21:Q21"/>
    <mergeCell ref="H22:I22"/>
    <mergeCell ref="J22:K22"/>
    <mergeCell ref="N22:O22"/>
    <mergeCell ref="P22:Q22"/>
    <mergeCell ref="B31:C31"/>
    <mergeCell ref="D31:E31"/>
    <mergeCell ref="H31:I31"/>
    <mergeCell ref="J31:K31"/>
    <mergeCell ref="N31:O31"/>
    <mergeCell ref="H12:I12"/>
    <mergeCell ref="J12:K12"/>
    <mergeCell ref="R2:U8"/>
    <mergeCell ref="D10:E10"/>
    <mergeCell ref="D11:E11"/>
    <mergeCell ref="N11:O11"/>
    <mergeCell ref="P11:Q11"/>
  </mergeCells>
  <conditionalFormatting sqref="B53">
    <cfRule type="expression" dxfId="58" priority="18">
      <formula>$B$53&gt;0</formula>
    </cfRule>
  </conditionalFormatting>
  <conditionalFormatting sqref="D10">
    <cfRule type="expression" dxfId="57" priority="21" stopIfTrue="1">
      <formula>$C$8&gt;=($C$10+-($C$10*0.1))</formula>
    </cfRule>
    <cfRule type="expression" dxfId="56" priority="22">
      <formula>$C$10&gt;$C$8</formula>
    </cfRule>
  </conditionalFormatting>
  <conditionalFormatting sqref="D42:E42">
    <cfRule type="expression" dxfId="55" priority="6" stopIfTrue="1">
      <formula>C40&gt;=(C42+-(C42*0.1))</formula>
    </cfRule>
    <cfRule type="expression" dxfId="54" priority="7">
      <formula>C42&gt;C40</formula>
    </cfRule>
  </conditionalFormatting>
  <conditionalFormatting sqref="J42">
    <cfRule type="expression" dxfId="53" priority="8" stopIfTrue="1">
      <formula>I40&gt;=(I42+-(I42*0.1))</formula>
    </cfRule>
    <cfRule type="expression" dxfId="52" priority="9">
      <formula>I42&gt;I40</formula>
    </cfRule>
  </conditionalFormatting>
  <conditionalFormatting sqref="J11:K11">
    <cfRule type="expression" dxfId="51" priority="25" stopIfTrue="1">
      <formula>$I9&gt;=($I11+-($I11*0.1))</formula>
    </cfRule>
    <cfRule type="expression" dxfId="50" priority="26">
      <formula>$I11&gt;$I9</formula>
    </cfRule>
  </conditionalFormatting>
  <conditionalFormatting sqref="J21:K21">
    <cfRule type="expression" dxfId="49" priority="14" stopIfTrue="1">
      <formula>I19&gt;=(I21+-(I21*0.1))</formula>
    </cfRule>
    <cfRule type="expression" dxfId="48" priority="15">
      <formula>I21&gt;I19</formula>
    </cfRule>
  </conditionalFormatting>
  <conditionalFormatting sqref="K16:K18">
    <cfRule type="top10" dxfId="47" priority="17" stopIfTrue="1" rank="1"/>
  </conditionalFormatting>
  <conditionalFormatting sqref="K33:K35 K37:K39">
    <cfRule type="top10" dxfId="46" priority="23" stopIfTrue="1" rank="1"/>
  </conditionalFormatting>
  <conditionalFormatting sqref="P21">
    <cfRule type="expression" dxfId="45" priority="12" stopIfTrue="1">
      <formula>O19&gt;=(O21+-(O21*0.1))</formula>
    </cfRule>
    <cfRule type="expression" dxfId="44" priority="13">
      <formula>O21&gt;O19</formula>
    </cfRule>
  </conditionalFormatting>
  <conditionalFormatting sqref="P42">
    <cfRule type="expression" dxfId="43" priority="10" stopIfTrue="1">
      <formula>O40&gt;=(O42+-(O42*0.1))</formula>
    </cfRule>
    <cfRule type="expression" dxfId="42" priority="11">
      <formula>O42&gt;O40</formula>
    </cfRule>
  </conditionalFormatting>
  <conditionalFormatting sqref="P10:Q10">
    <cfRule type="expression" dxfId="41" priority="19" stopIfTrue="1">
      <formula>$O$8&gt;=($O$10+-($O$10*0.1))</formula>
    </cfRule>
    <cfRule type="expression" dxfId="40" priority="20">
      <formula>$O$10&gt;$O$8</formula>
    </cfRule>
  </conditionalFormatting>
  <conditionalFormatting sqref="Q16:Q18">
    <cfRule type="top10" dxfId="39" priority="16" stopIfTrue="1" rank="1"/>
    <cfRule type="top10" dxfId="38" priority="24" rank="1"/>
  </conditionalFormatting>
  <conditionalFormatting sqref="E33:E35 E37:E39">
    <cfRule type="top10" dxfId="37" priority="27" stopIfTrue="1" rank="1"/>
  </conditionalFormatting>
  <conditionalFormatting sqref="Q33:Q35 Q37:Q39">
    <cfRule type="top10" dxfId="36" priority="28" stopIfTrue="1" rank="1"/>
  </conditionalFormatting>
  <conditionalFormatting sqref="E36">
    <cfRule type="top10" dxfId="35" priority="5" stopIfTrue="1" rank="1"/>
  </conditionalFormatting>
  <conditionalFormatting sqref="K36">
    <cfRule type="top10" dxfId="34" priority="4" stopIfTrue="1" rank="1"/>
  </conditionalFormatting>
  <conditionalFormatting sqref="Q36">
    <cfRule type="top10" dxfId="33" priority="3" stopIfTrue="1" rank="1"/>
  </conditionalFormatting>
  <conditionalFormatting sqref="K15">
    <cfRule type="top10" dxfId="32" priority="2" stopIfTrue="1" rank="1"/>
  </conditionalFormatting>
  <conditionalFormatting sqref="Q15">
    <cfRule type="top10" dxfId="31" priority="1" stopIfTrue="1" rank="1"/>
  </conditionalFormatting>
  <conditionalFormatting sqref="Q2:Q7">
    <cfRule type="top10" dxfId="30" priority="29" rank="1"/>
    <cfRule type="top10" dxfId="29" priority="30" stopIfTrue="1" rank="1"/>
  </conditionalFormatting>
  <conditionalFormatting sqref="K2:K8">
    <cfRule type="top10" dxfId="28" priority="31" stopIfTrue="1" rank="1"/>
  </conditionalFormatting>
  <conditionalFormatting sqref="E2:E7">
    <cfRule type="top10" dxfId="27" priority="32" stopIfTrue="1" rank="1"/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0094-6648-4845-A689-14FFD99C4550}">
  <dimension ref="A1:U52"/>
  <sheetViews>
    <sheetView topLeftCell="A39" zoomScale="125" zoomScaleNormal="100" workbookViewId="0">
      <selection activeCell="H53" sqref="H53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7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47" t="s">
        <v>9</v>
      </c>
      <c r="S2" s="47"/>
      <c r="T2" s="47"/>
      <c r="U2" s="47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8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:K8" si="1">I3*J3</f>
        <v>15.45</v>
      </c>
      <c r="M3" s="8" t="s">
        <v>45</v>
      </c>
      <c r="N3" t="s">
        <v>11</v>
      </c>
      <c r="O3">
        <v>1</v>
      </c>
      <c r="P3" s="6">
        <v>15.45</v>
      </c>
      <c r="Q3" s="6">
        <f t="shared" ref="Q3:Q8" si="2">O3*P3</f>
        <v>15.45</v>
      </c>
      <c r="R3" s="48"/>
      <c r="S3" s="48"/>
      <c r="T3" s="48"/>
      <c r="U3" s="48"/>
    </row>
    <row r="4" spans="1:21">
      <c r="A4" s="8" t="s">
        <v>14</v>
      </c>
      <c r="B4" t="s">
        <v>15</v>
      </c>
      <c r="C4">
        <v>2</v>
      </c>
      <c r="D4" s="6">
        <v>37.5</v>
      </c>
      <c r="E4" s="6">
        <f t="shared" si="0"/>
        <v>75</v>
      </c>
      <c r="G4" s="9">
        <v>0.36458333333333331</v>
      </c>
      <c r="H4" t="s">
        <v>15</v>
      </c>
      <c r="I4">
        <v>1</v>
      </c>
      <c r="J4" s="6">
        <v>37.5</v>
      </c>
      <c r="K4" s="6">
        <f t="shared" si="1"/>
        <v>37.5</v>
      </c>
      <c r="M4" s="9">
        <v>0.36458333333333331</v>
      </c>
      <c r="N4" t="s">
        <v>15</v>
      </c>
      <c r="O4">
        <v>1</v>
      </c>
      <c r="P4" s="6">
        <v>37.5</v>
      </c>
      <c r="Q4" s="6">
        <f t="shared" si="2"/>
        <v>37.5</v>
      </c>
      <c r="R4" s="48"/>
      <c r="S4" s="48"/>
      <c r="T4" s="48"/>
      <c r="U4" s="48"/>
    </row>
    <row r="5" spans="1:21">
      <c r="R5" s="48"/>
      <c r="S5" s="48"/>
      <c r="T5" s="48"/>
      <c r="U5" s="48"/>
    </row>
    <row r="6" spans="1:21">
      <c r="B6" t="s">
        <v>16</v>
      </c>
      <c r="C6">
        <v>7</v>
      </c>
      <c r="D6" s="6">
        <v>36</v>
      </c>
      <c r="E6" s="6">
        <f t="shared" si="0"/>
        <v>252</v>
      </c>
      <c r="H6" t="s">
        <v>16</v>
      </c>
      <c r="I6">
        <v>7</v>
      </c>
      <c r="J6" s="6">
        <v>36</v>
      </c>
      <c r="K6" s="6">
        <f t="shared" si="1"/>
        <v>252</v>
      </c>
      <c r="N6" t="s">
        <v>16</v>
      </c>
      <c r="O6">
        <v>7</v>
      </c>
      <c r="P6" s="6">
        <v>36</v>
      </c>
      <c r="Q6" s="6">
        <f t="shared" si="2"/>
        <v>252</v>
      </c>
      <c r="R6" s="48"/>
      <c r="S6" s="48"/>
      <c r="T6" s="48"/>
      <c r="U6" s="48"/>
    </row>
    <row r="7" spans="1:21">
      <c r="B7" t="s">
        <v>17</v>
      </c>
      <c r="C7">
        <v>4</v>
      </c>
      <c r="D7" s="6">
        <v>36</v>
      </c>
      <c r="E7" s="6">
        <f t="shared" si="0"/>
        <v>144</v>
      </c>
      <c r="H7" t="s">
        <v>18</v>
      </c>
      <c r="I7">
        <v>3</v>
      </c>
      <c r="J7" s="6">
        <v>36</v>
      </c>
      <c r="K7" s="6">
        <f t="shared" si="1"/>
        <v>108</v>
      </c>
      <c r="N7" t="s">
        <v>19</v>
      </c>
      <c r="O7">
        <v>4</v>
      </c>
      <c r="P7" s="6">
        <v>36</v>
      </c>
      <c r="Q7" s="6">
        <f t="shared" si="2"/>
        <v>144</v>
      </c>
      <c r="R7" s="48"/>
      <c r="S7" s="48"/>
      <c r="T7" s="48"/>
      <c r="U7" s="48"/>
    </row>
    <row r="8" spans="1:21" ht="27.95" customHeight="1" thickBot="1">
      <c r="B8" t="s">
        <v>19</v>
      </c>
      <c r="C8">
        <v>3</v>
      </c>
      <c r="D8" s="6">
        <v>36</v>
      </c>
      <c r="E8" s="6">
        <f t="shared" si="0"/>
        <v>108</v>
      </c>
      <c r="H8" t="s">
        <v>20</v>
      </c>
      <c r="I8">
        <v>4</v>
      </c>
      <c r="J8" s="6">
        <v>36</v>
      </c>
      <c r="K8" s="6">
        <f t="shared" si="1"/>
        <v>144</v>
      </c>
      <c r="N8" t="s">
        <v>20</v>
      </c>
      <c r="O8">
        <v>3</v>
      </c>
      <c r="P8" s="6">
        <v>36</v>
      </c>
      <c r="Q8" s="6">
        <f t="shared" si="2"/>
        <v>108</v>
      </c>
      <c r="R8" s="48"/>
      <c r="S8" s="48"/>
      <c r="T8" s="48"/>
      <c r="U8" s="48"/>
    </row>
    <row r="9" spans="1:21" ht="15.95" thickBot="1">
      <c r="B9" s="11" t="s">
        <v>21</v>
      </c>
      <c r="C9" s="12">
        <f>12*C6</f>
        <v>84</v>
      </c>
      <c r="D9" s="49" t="s">
        <v>22</v>
      </c>
      <c r="E9" s="50"/>
      <c r="N9" s="11" t="s">
        <v>23</v>
      </c>
      <c r="O9" s="12">
        <f>12*O6</f>
        <v>84</v>
      </c>
      <c r="P9" s="51" t="s">
        <v>24</v>
      </c>
      <c r="Q9" s="52"/>
    </row>
    <row r="10" spans="1:21" ht="15.95" thickBot="1">
      <c r="B10" s="17" t="s">
        <v>25</v>
      </c>
      <c r="C10" s="18">
        <f>E10/C9</f>
        <v>7.5690476190476188</v>
      </c>
      <c r="D10" s="18" t="s">
        <v>26</v>
      </c>
      <c r="E10" s="18">
        <f>SUM(E2:E7)</f>
        <v>635.79999999999995</v>
      </c>
      <c r="H10" s="11" t="s">
        <v>27</v>
      </c>
      <c r="I10" s="12">
        <f>12*I6</f>
        <v>84</v>
      </c>
      <c r="J10" s="51" t="s">
        <v>24</v>
      </c>
      <c r="K10" s="52"/>
      <c r="N10" s="17" t="s">
        <v>28</v>
      </c>
      <c r="O10" s="18">
        <f>Q10/O9</f>
        <v>10.186309523809523</v>
      </c>
      <c r="P10" s="18" t="s">
        <v>26</v>
      </c>
      <c r="Q10" s="18">
        <f>SUM(Q2:Q8)</f>
        <v>855.65</v>
      </c>
    </row>
    <row r="11" spans="1:21">
      <c r="B11" s="19" t="s">
        <v>31</v>
      </c>
      <c r="C11" s="19">
        <v>85</v>
      </c>
      <c r="D11" s="20" t="s">
        <v>30</v>
      </c>
      <c r="E11" s="20"/>
      <c r="H11" s="17" t="s">
        <v>28</v>
      </c>
      <c r="I11" s="18">
        <f>K11/I10</f>
        <v>10.186309523809523</v>
      </c>
      <c r="J11" s="18" t="s">
        <v>26</v>
      </c>
      <c r="K11" s="18">
        <f>SUM(K2:K9)</f>
        <v>855.65</v>
      </c>
      <c r="N11" s="19" t="s">
        <v>31</v>
      </c>
      <c r="O11" s="19">
        <v>85</v>
      </c>
      <c r="P11" s="46" t="s">
        <v>30</v>
      </c>
      <c r="Q11" s="46"/>
    </row>
    <row r="12" spans="1:21">
      <c r="B12" s="21" t="s">
        <v>32</v>
      </c>
      <c r="C12" s="21"/>
      <c r="D12" s="22">
        <f>E10/42</f>
        <v>15.138095238095238</v>
      </c>
      <c r="E12" s="22"/>
      <c r="H12" s="19" t="s">
        <v>31</v>
      </c>
      <c r="I12" s="19">
        <v>85</v>
      </c>
      <c r="J12" s="46" t="s">
        <v>30</v>
      </c>
      <c r="K12" s="46"/>
      <c r="N12" s="53" t="s">
        <v>32</v>
      </c>
      <c r="O12" s="53"/>
      <c r="P12" s="54">
        <f>Q10/42</f>
        <v>20.372619047619047</v>
      </c>
      <c r="Q12" s="54"/>
    </row>
    <row r="13" spans="1:21" ht="15" customHeight="1">
      <c r="H13" s="53" t="s">
        <v>32</v>
      </c>
      <c r="I13" s="53"/>
      <c r="J13" s="54">
        <f>K11/42</f>
        <v>20.372619047619047</v>
      </c>
      <c r="K13" s="54"/>
    </row>
    <row r="14" spans="1:21" ht="15" customHeight="1">
      <c r="N14" s="23"/>
      <c r="O14" s="23"/>
      <c r="P14" s="24"/>
      <c r="Q14" s="24"/>
    </row>
    <row r="15" spans="1:21" ht="32.1">
      <c r="A15" s="25" t="s">
        <v>33</v>
      </c>
      <c r="B15" s="55" t="s">
        <v>34</v>
      </c>
      <c r="C15" s="55"/>
      <c r="D15" s="55"/>
      <c r="E15" s="55"/>
      <c r="G15" s="25" t="s">
        <v>33</v>
      </c>
      <c r="M15" s="25" t="s">
        <v>33</v>
      </c>
    </row>
    <row r="16" spans="1:21" ht="15.95">
      <c r="B16" s="55"/>
      <c r="C16" s="55"/>
      <c r="D16" s="55"/>
      <c r="E16" s="55"/>
      <c r="G16" s="26" t="s">
        <v>45</v>
      </c>
      <c r="H16" t="s">
        <v>36</v>
      </c>
      <c r="I16">
        <v>7</v>
      </c>
      <c r="J16" s="6">
        <v>18.95</v>
      </c>
      <c r="K16" s="6">
        <f t="shared" ref="K16:K18" si="3">I16*J16</f>
        <v>132.65</v>
      </c>
      <c r="M16" s="26" t="s">
        <v>45</v>
      </c>
      <c r="N16" t="s">
        <v>37</v>
      </c>
      <c r="O16">
        <v>1</v>
      </c>
      <c r="P16" s="6">
        <v>149.35</v>
      </c>
      <c r="Q16" s="6">
        <f t="shared" ref="Q16:Q18" si="4">O16*P16</f>
        <v>149.35</v>
      </c>
    </row>
    <row r="17" spans="1:17">
      <c r="B17" s="55"/>
      <c r="C17" s="55"/>
      <c r="D17" s="55"/>
      <c r="E17" s="55"/>
      <c r="H17" t="s">
        <v>37</v>
      </c>
      <c r="I17">
        <v>1</v>
      </c>
      <c r="J17" s="6">
        <v>149.35</v>
      </c>
      <c r="K17" s="6">
        <f t="shared" si="3"/>
        <v>149.35</v>
      </c>
      <c r="N17" t="s">
        <v>36</v>
      </c>
      <c r="O17">
        <v>7</v>
      </c>
      <c r="P17" s="6">
        <v>18.95</v>
      </c>
      <c r="Q17" s="6">
        <f t="shared" si="4"/>
        <v>132.65</v>
      </c>
    </row>
    <row r="18" spans="1:17" ht="15.95" thickBot="1">
      <c r="B18" s="55"/>
      <c r="C18" s="55"/>
      <c r="D18" s="55"/>
      <c r="E18" s="55"/>
      <c r="H18" t="s">
        <v>38</v>
      </c>
      <c r="I18">
        <v>7</v>
      </c>
      <c r="J18" s="6">
        <v>36</v>
      </c>
      <c r="K18" s="6">
        <f t="shared" si="3"/>
        <v>252</v>
      </c>
      <c r="N18" t="s">
        <v>38</v>
      </c>
      <c r="O18">
        <v>7</v>
      </c>
      <c r="P18" s="6">
        <v>36</v>
      </c>
      <c r="Q18" s="6">
        <f t="shared" si="4"/>
        <v>252</v>
      </c>
    </row>
    <row r="19" spans="1:17" ht="15.95" thickBot="1">
      <c r="B19" s="55"/>
      <c r="C19" s="55"/>
      <c r="D19" s="55"/>
      <c r="E19" s="55"/>
      <c r="H19" s="11" t="s">
        <v>23</v>
      </c>
      <c r="I19" s="12">
        <f>12*I16</f>
        <v>84</v>
      </c>
      <c r="J19" s="51" t="s">
        <v>39</v>
      </c>
      <c r="K19" s="52"/>
      <c r="N19" s="11" t="s">
        <v>27</v>
      </c>
      <c r="O19" s="12">
        <f>12*O17</f>
        <v>84</v>
      </c>
      <c r="P19" s="15"/>
      <c r="Q19" s="16"/>
    </row>
    <row r="20" spans="1:17">
      <c r="B20" s="55"/>
      <c r="C20" s="55"/>
      <c r="D20" s="55"/>
      <c r="E20" s="55"/>
      <c r="H20" s="17" t="s">
        <v>28</v>
      </c>
      <c r="I20" s="18">
        <f>K20/I19</f>
        <v>6.3571428571428568</v>
      </c>
      <c r="J20" s="18" t="s">
        <v>26</v>
      </c>
      <c r="K20" s="18">
        <f>SUM(K15:K18)</f>
        <v>534</v>
      </c>
      <c r="N20" s="17" t="s">
        <v>28</v>
      </c>
      <c r="O20" s="18">
        <f>Q20/O19</f>
        <v>6.3571428571428568</v>
      </c>
      <c r="P20" s="18" t="s">
        <v>26</v>
      </c>
      <c r="Q20" s="18">
        <f>SUM(Q16:Q18)</f>
        <v>534</v>
      </c>
    </row>
    <row r="21" spans="1:17">
      <c r="B21" s="55"/>
      <c r="C21" s="55"/>
      <c r="D21" s="55"/>
      <c r="E21" s="55"/>
      <c r="H21" s="19" t="s">
        <v>31</v>
      </c>
      <c r="I21" s="19">
        <v>85</v>
      </c>
      <c r="J21" s="46" t="s">
        <v>30</v>
      </c>
      <c r="K21" s="46"/>
      <c r="N21" s="19" t="s">
        <v>31</v>
      </c>
      <c r="O21" s="19">
        <v>85</v>
      </c>
      <c r="P21" s="46" t="s">
        <v>30</v>
      </c>
      <c r="Q21" s="46"/>
    </row>
    <row r="22" spans="1:17">
      <c r="B22" s="27"/>
      <c r="C22" s="27"/>
      <c r="D22" s="27"/>
      <c r="E22" s="27"/>
      <c r="H22" s="53" t="s">
        <v>32</v>
      </c>
      <c r="I22" s="53"/>
      <c r="J22" s="54">
        <f>K20/42</f>
        <v>12.714285714285714</v>
      </c>
      <c r="K22" s="54"/>
      <c r="N22" s="53" t="s">
        <v>32</v>
      </c>
      <c r="O22" s="53"/>
      <c r="P22" s="54">
        <f>Q20/42</f>
        <v>12.714285714285714</v>
      </c>
      <c r="Q22" s="54"/>
    </row>
    <row r="24" spans="1:17" s="29" customFormat="1">
      <c r="A24" s="28" t="s">
        <v>40</v>
      </c>
      <c r="B24" s="29" t="s">
        <v>56</v>
      </c>
      <c r="C24" s="29">
        <v>85</v>
      </c>
      <c r="D24" s="30">
        <f>E24/C24</f>
        <v>17.195294117647059</v>
      </c>
      <c r="E24" s="30">
        <f>SUM(E25:E30)</f>
        <v>1461.6</v>
      </c>
      <c r="F24" s="7"/>
      <c r="G24" s="28" t="s">
        <v>40</v>
      </c>
      <c r="H24" s="29" t="s">
        <v>56</v>
      </c>
      <c r="I24" s="29">
        <v>85</v>
      </c>
      <c r="J24" s="30">
        <f>K24/I24</f>
        <v>17.195294117647059</v>
      </c>
      <c r="K24" s="30">
        <f>SUM(K25:K30)</f>
        <v>1461.6</v>
      </c>
      <c r="L24" s="7"/>
      <c r="M24" s="28" t="s">
        <v>40</v>
      </c>
      <c r="N24" s="29" t="s">
        <v>56</v>
      </c>
      <c r="O24" s="29">
        <v>70</v>
      </c>
      <c r="P24" s="30">
        <f>Q24/O24</f>
        <v>19.588571428571431</v>
      </c>
      <c r="Q24" s="30">
        <f>SUM(Q25:Q30)</f>
        <v>1371.2</v>
      </c>
    </row>
    <row r="25" spans="1:17">
      <c r="B25" t="s">
        <v>57</v>
      </c>
      <c r="C25">
        <v>4</v>
      </c>
      <c r="D25" s="6">
        <v>96</v>
      </c>
      <c r="E25" s="6">
        <f>D25*C25</f>
        <v>384</v>
      </c>
      <c r="F25"/>
      <c r="G25" s="10" t="s">
        <v>45</v>
      </c>
      <c r="H25" t="s">
        <v>57</v>
      </c>
      <c r="I25">
        <v>4</v>
      </c>
      <c r="J25" s="6">
        <v>96</v>
      </c>
      <c r="K25" s="6">
        <f>J25*I25</f>
        <v>384</v>
      </c>
      <c r="L25"/>
      <c r="M25" s="10" t="s">
        <v>45</v>
      </c>
      <c r="N25" t="s">
        <v>57</v>
      </c>
      <c r="O25">
        <v>3</v>
      </c>
      <c r="P25" s="6">
        <v>96</v>
      </c>
      <c r="Q25" s="6">
        <f>P25*O25</f>
        <v>288</v>
      </c>
    </row>
    <row r="26" spans="1:17">
      <c r="B26" t="s">
        <v>58</v>
      </c>
      <c r="C26">
        <v>4</v>
      </c>
      <c r="D26" s="6">
        <v>96</v>
      </c>
      <c r="E26" s="6">
        <f>D26*C26</f>
        <v>384</v>
      </c>
      <c r="F26"/>
      <c r="H26" t="s">
        <v>58</v>
      </c>
      <c r="I26">
        <v>4</v>
      </c>
      <c r="J26" s="6">
        <v>96</v>
      </c>
      <c r="K26" s="6">
        <f>J26*I26</f>
        <v>384</v>
      </c>
      <c r="L26"/>
      <c r="N26" t="s">
        <v>58</v>
      </c>
      <c r="O26">
        <v>3</v>
      </c>
      <c r="P26" s="6">
        <v>96</v>
      </c>
      <c r="Q26" s="6">
        <f>P26*O26</f>
        <v>288</v>
      </c>
    </row>
    <row r="27" spans="1:17">
      <c r="B27" t="s">
        <v>16</v>
      </c>
      <c r="C27">
        <v>4</v>
      </c>
      <c r="D27" s="6">
        <v>36</v>
      </c>
      <c r="E27" s="6">
        <f t="shared" ref="E27:E29" si="5">D27*C27</f>
        <v>144</v>
      </c>
      <c r="F27"/>
      <c r="H27" t="s">
        <v>16</v>
      </c>
      <c r="I27">
        <v>4</v>
      </c>
      <c r="J27" s="6">
        <v>36</v>
      </c>
      <c r="K27" s="6">
        <f t="shared" ref="K27:K29" si="6">J27*I27</f>
        <v>144</v>
      </c>
      <c r="L27"/>
      <c r="N27" t="s">
        <v>16</v>
      </c>
      <c r="O27">
        <v>4</v>
      </c>
      <c r="P27" s="6">
        <v>36</v>
      </c>
      <c r="Q27" s="6">
        <f t="shared" ref="Q27:Q29" si="7">P27*O27</f>
        <v>144</v>
      </c>
    </row>
    <row r="28" spans="1:17">
      <c r="B28" t="s">
        <v>59</v>
      </c>
      <c r="C28">
        <v>4</v>
      </c>
      <c r="D28" s="6">
        <v>48</v>
      </c>
      <c r="E28" s="6">
        <f t="shared" si="5"/>
        <v>192</v>
      </c>
      <c r="F28"/>
      <c r="H28" t="s">
        <v>59</v>
      </c>
      <c r="I28">
        <v>4</v>
      </c>
      <c r="J28" s="6">
        <v>48</v>
      </c>
      <c r="K28" s="6">
        <f t="shared" si="6"/>
        <v>192</v>
      </c>
      <c r="L28"/>
      <c r="N28" t="s">
        <v>59</v>
      </c>
      <c r="O28">
        <v>3</v>
      </c>
      <c r="P28" s="6">
        <v>48</v>
      </c>
      <c r="Q28" s="6">
        <f t="shared" si="7"/>
        <v>144</v>
      </c>
    </row>
    <row r="29" spans="1:17">
      <c r="B29" t="s">
        <v>60</v>
      </c>
      <c r="C29">
        <v>4</v>
      </c>
      <c r="D29" s="6">
        <v>48</v>
      </c>
      <c r="E29" s="6">
        <f t="shared" si="5"/>
        <v>192</v>
      </c>
      <c r="F29"/>
      <c r="H29" t="s">
        <v>61</v>
      </c>
      <c r="I29">
        <v>4</v>
      </c>
      <c r="J29" s="6">
        <v>48</v>
      </c>
      <c r="K29" s="6">
        <f t="shared" si="6"/>
        <v>192</v>
      </c>
      <c r="L29"/>
      <c r="N29" t="s">
        <v>62</v>
      </c>
      <c r="O29">
        <v>6</v>
      </c>
      <c r="P29" s="6">
        <v>60</v>
      </c>
      <c r="Q29" s="6">
        <f t="shared" si="7"/>
        <v>360</v>
      </c>
    </row>
    <row r="30" spans="1:17">
      <c r="B30" t="s">
        <v>63</v>
      </c>
      <c r="C30">
        <v>90</v>
      </c>
      <c r="D30" s="6">
        <v>1.84</v>
      </c>
      <c r="E30" s="6">
        <f>D30*C30</f>
        <v>165.6</v>
      </c>
      <c r="F30"/>
      <c r="H30" t="s">
        <v>63</v>
      </c>
      <c r="I30">
        <v>90</v>
      </c>
      <c r="J30" s="6">
        <v>1.84</v>
      </c>
      <c r="K30" s="6">
        <f>J30*I30</f>
        <v>165.6</v>
      </c>
      <c r="L30"/>
      <c r="N30" t="s">
        <v>63</v>
      </c>
      <c r="O30">
        <v>80</v>
      </c>
      <c r="P30" s="6">
        <v>1.84</v>
      </c>
      <c r="Q30" s="6">
        <f>P30*O30</f>
        <v>147.20000000000002</v>
      </c>
    </row>
    <row r="31" spans="1:17" ht="15" customHeight="1">
      <c r="F31"/>
      <c r="L31"/>
    </row>
    <row r="32" spans="1:17" ht="32.1">
      <c r="A32" s="25" t="s">
        <v>42</v>
      </c>
      <c r="B32" t="s">
        <v>8</v>
      </c>
      <c r="C32">
        <v>1</v>
      </c>
      <c r="D32" s="6">
        <v>149.35</v>
      </c>
      <c r="E32" s="6">
        <f>C32*D32</f>
        <v>149.35</v>
      </c>
      <c r="G32" s="25" t="s">
        <v>42</v>
      </c>
      <c r="H32" t="s">
        <v>8</v>
      </c>
      <c r="I32">
        <v>1</v>
      </c>
      <c r="J32" s="6">
        <v>149.35</v>
      </c>
      <c r="K32" s="6">
        <f>I32*J32</f>
        <v>149.35</v>
      </c>
      <c r="M32" s="25" t="s">
        <v>43</v>
      </c>
      <c r="N32" t="s">
        <v>8</v>
      </c>
      <c r="O32">
        <v>1</v>
      </c>
      <c r="P32" s="6">
        <v>149.35</v>
      </c>
      <c r="Q32" s="6">
        <f>O32*P32</f>
        <v>149.35</v>
      </c>
    </row>
    <row r="33" spans="1:17">
      <c r="A33" t="s">
        <v>10</v>
      </c>
      <c r="B33" t="s">
        <v>11</v>
      </c>
      <c r="C33">
        <v>1</v>
      </c>
      <c r="D33" s="6">
        <v>15.45</v>
      </c>
      <c r="E33" s="6">
        <f t="shared" ref="E33:E38" si="8">C33*D33</f>
        <v>15.45</v>
      </c>
      <c r="G33" s="31" t="s">
        <v>44</v>
      </c>
      <c r="H33" t="s">
        <v>11</v>
      </c>
      <c r="I33">
        <v>1</v>
      </c>
      <c r="J33" s="6">
        <v>15.45</v>
      </c>
      <c r="K33" s="6">
        <f t="shared" ref="K33:K37" si="9">I33*J33</f>
        <v>15.45</v>
      </c>
      <c r="M33" s="8" t="s">
        <v>45</v>
      </c>
      <c r="N33" t="s">
        <v>11</v>
      </c>
      <c r="O33">
        <v>1</v>
      </c>
      <c r="P33" s="6">
        <v>15.45</v>
      </c>
      <c r="Q33" s="6">
        <f t="shared" ref="Q33:Q38" si="10">O33*P33</f>
        <v>15.45</v>
      </c>
    </row>
    <row r="34" spans="1:17">
      <c r="A34" s="8" t="s">
        <v>46</v>
      </c>
      <c r="B34" t="s">
        <v>15</v>
      </c>
      <c r="C34">
        <v>2</v>
      </c>
      <c r="D34" s="6">
        <v>37.5</v>
      </c>
      <c r="E34" s="6">
        <f t="shared" si="8"/>
        <v>75</v>
      </c>
      <c r="G34" s="32">
        <v>0.625</v>
      </c>
      <c r="H34" t="s">
        <v>15</v>
      </c>
      <c r="I34">
        <v>2</v>
      </c>
      <c r="J34" s="6">
        <v>37.5</v>
      </c>
      <c r="K34" s="6">
        <f t="shared" si="9"/>
        <v>75</v>
      </c>
      <c r="M34" s="8" t="s">
        <v>46</v>
      </c>
      <c r="N34" t="s">
        <v>15</v>
      </c>
      <c r="O34">
        <v>2</v>
      </c>
      <c r="P34" s="6">
        <v>37.5</v>
      </c>
      <c r="Q34" s="6">
        <f t="shared" si="10"/>
        <v>75</v>
      </c>
    </row>
    <row r="35" spans="1:17">
      <c r="M35" s="8"/>
    </row>
    <row r="36" spans="1:17">
      <c r="B36" t="s">
        <v>47</v>
      </c>
      <c r="C36">
        <v>3</v>
      </c>
      <c r="D36" s="6">
        <v>54</v>
      </c>
      <c r="E36" s="6">
        <f t="shared" si="8"/>
        <v>162</v>
      </c>
      <c r="H36" t="s">
        <v>47</v>
      </c>
      <c r="I36">
        <v>3</v>
      </c>
      <c r="J36" s="6">
        <v>54</v>
      </c>
      <c r="K36" s="6">
        <f t="shared" si="9"/>
        <v>162</v>
      </c>
      <c r="N36" t="s">
        <v>47</v>
      </c>
      <c r="O36">
        <v>3</v>
      </c>
      <c r="P36" s="6">
        <v>54</v>
      </c>
      <c r="Q36" s="6">
        <f t="shared" si="10"/>
        <v>162</v>
      </c>
    </row>
    <row r="37" spans="1:17">
      <c r="B37" t="s">
        <v>16</v>
      </c>
      <c r="C37">
        <v>4</v>
      </c>
      <c r="D37" s="6">
        <v>36</v>
      </c>
      <c r="E37" s="6">
        <f t="shared" si="8"/>
        <v>144</v>
      </c>
      <c r="H37" t="s">
        <v>16</v>
      </c>
      <c r="I37">
        <v>4</v>
      </c>
      <c r="J37" s="6">
        <v>36</v>
      </c>
      <c r="K37" s="6">
        <f t="shared" si="9"/>
        <v>144</v>
      </c>
      <c r="N37" t="s">
        <v>16</v>
      </c>
      <c r="O37">
        <v>4</v>
      </c>
      <c r="P37" s="6">
        <v>36</v>
      </c>
      <c r="Q37" s="6">
        <f t="shared" si="10"/>
        <v>144</v>
      </c>
    </row>
    <row r="38" spans="1:17" ht="15.95" thickBot="1">
      <c r="B38" t="s">
        <v>48</v>
      </c>
      <c r="C38">
        <v>7</v>
      </c>
      <c r="D38" s="6">
        <v>18.95</v>
      </c>
      <c r="E38" s="6">
        <f t="shared" si="8"/>
        <v>132.65</v>
      </c>
      <c r="H38" t="s">
        <v>48</v>
      </c>
      <c r="I38">
        <v>7</v>
      </c>
      <c r="J38" s="6">
        <v>18.95</v>
      </c>
      <c r="K38" s="6">
        <f>I38*J38</f>
        <v>132.65</v>
      </c>
      <c r="N38" t="s">
        <v>48</v>
      </c>
      <c r="O38">
        <v>7</v>
      </c>
      <c r="P38" s="6">
        <v>18.95</v>
      </c>
      <c r="Q38" s="6">
        <f t="shared" si="10"/>
        <v>132.65</v>
      </c>
    </row>
    <row r="39" spans="1:17" ht="29.1" customHeight="1" thickBot="1">
      <c r="B39" s="33" t="s">
        <v>21</v>
      </c>
      <c r="C39" s="34">
        <f>12*C38</f>
        <v>84</v>
      </c>
      <c r="D39" s="49" t="s">
        <v>22</v>
      </c>
      <c r="E39" s="50"/>
      <c r="H39" s="33" t="s">
        <v>21</v>
      </c>
      <c r="I39" s="34">
        <f>12*I38</f>
        <v>84</v>
      </c>
      <c r="J39" s="49" t="s">
        <v>22</v>
      </c>
      <c r="K39" s="56"/>
      <c r="N39" s="33" t="s">
        <v>21</v>
      </c>
      <c r="O39" s="34">
        <f>O38*12</f>
        <v>84</v>
      </c>
      <c r="P39" s="49" t="s">
        <v>22</v>
      </c>
      <c r="Q39" s="56"/>
    </row>
    <row r="40" spans="1:17" ht="29.1" customHeight="1">
      <c r="B40" s="17" t="s">
        <v>28</v>
      </c>
      <c r="C40" s="18">
        <f>E40/C39</f>
        <v>8.0767857142857142</v>
      </c>
      <c r="D40" s="18" t="s">
        <v>26</v>
      </c>
      <c r="E40" s="18">
        <f>SUM(E32:E38)</f>
        <v>678.44999999999993</v>
      </c>
      <c r="H40" s="17" t="s">
        <v>28</v>
      </c>
      <c r="I40" s="18">
        <f>K40/I39</f>
        <v>8.0767857142857142</v>
      </c>
      <c r="J40" s="18" t="s">
        <v>26</v>
      </c>
      <c r="K40" s="18">
        <f>SUM(K32:K38)</f>
        <v>678.44999999999993</v>
      </c>
      <c r="N40" s="17" t="s">
        <v>28</v>
      </c>
      <c r="O40" s="18">
        <f>Q40/O39</f>
        <v>8.0767857142857142</v>
      </c>
      <c r="P40" s="18" t="s">
        <v>26</v>
      </c>
      <c r="Q40" s="18">
        <f>SUM(Q32:Q38)</f>
        <v>678.44999999999993</v>
      </c>
    </row>
    <row r="41" spans="1:17" ht="18" customHeight="1">
      <c r="B41" s="19" t="s">
        <v>31</v>
      </c>
      <c r="C41" s="19">
        <v>85</v>
      </c>
      <c r="D41" s="46" t="s">
        <v>30</v>
      </c>
      <c r="E41" s="46"/>
      <c r="H41" s="19" t="s">
        <v>31</v>
      </c>
      <c r="I41" s="19">
        <v>85</v>
      </c>
      <c r="J41" s="46" t="s">
        <v>30</v>
      </c>
      <c r="K41" s="46"/>
      <c r="N41" s="19" t="s">
        <v>31</v>
      </c>
      <c r="O41" s="19">
        <v>85</v>
      </c>
      <c r="P41" s="46" t="s">
        <v>30</v>
      </c>
      <c r="Q41" s="46"/>
    </row>
    <row r="42" spans="1:17" ht="17.100000000000001" customHeight="1">
      <c r="B42" s="53" t="s">
        <v>32</v>
      </c>
      <c r="C42" s="53"/>
      <c r="D42" s="54">
        <v>23.566666666666666</v>
      </c>
      <c r="E42" s="54"/>
      <c r="H42" s="53" t="s">
        <v>32</v>
      </c>
      <c r="I42" s="53"/>
      <c r="J42" s="22">
        <f>K40/42</f>
        <v>16.153571428571428</v>
      </c>
      <c r="K42" s="22"/>
      <c r="N42" s="53" t="s">
        <v>32</v>
      </c>
      <c r="O42" s="53"/>
      <c r="P42" s="54">
        <v>23.566666666666666</v>
      </c>
      <c r="Q42" s="54"/>
    </row>
    <row r="43" spans="1:17" ht="15" customHeight="1">
      <c r="A43" s="35"/>
      <c r="B43" s="36"/>
      <c r="C43" s="36"/>
      <c r="D43" s="37"/>
      <c r="E43" s="37"/>
      <c r="F43" s="38"/>
      <c r="G43" s="35"/>
      <c r="L43" s="38"/>
      <c r="M43" s="35"/>
    </row>
    <row r="44" spans="1:17" ht="15" customHeight="1">
      <c r="A44" s="10" t="s">
        <v>49</v>
      </c>
      <c r="E44" s="6">
        <f>SUM(E40,E10,E24)</f>
        <v>2775.85</v>
      </c>
      <c r="K44" s="6">
        <f>SUM(K40,Q10,K24,K20)</f>
        <v>3529.7</v>
      </c>
      <c r="Q44" s="6">
        <f>SUM(Q40,Q24,Q20,K11)</f>
        <v>3439.3</v>
      </c>
    </row>
    <row r="45" spans="1:17" ht="15" customHeight="1">
      <c r="A45" s="10" t="s">
        <v>50</v>
      </c>
      <c r="E45" s="6">
        <f>E44*0.13</f>
        <v>360.8605</v>
      </c>
      <c r="K45" s="6">
        <f>K44*0.13</f>
        <v>458.86099999999999</v>
      </c>
      <c r="Q45" s="6">
        <f>Q44*0.13</f>
        <v>447.10900000000004</v>
      </c>
    </row>
    <row r="46" spans="1:17" ht="15" customHeight="1">
      <c r="A46" s="10" t="s">
        <v>51</v>
      </c>
      <c r="E46" s="6">
        <f>E44+E45</f>
        <v>3136.7105000000001</v>
      </c>
      <c r="K46" s="6">
        <f>K44+K45</f>
        <v>3988.5609999999997</v>
      </c>
      <c r="Q46" s="6">
        <f>Q44+Q45</f>
        <v>3886.4090000000001</v>
      </c>
    </row>
    <row r="48" spans="1:17" ht="15" customHeight="1" thickBot="1"/>
    <row r="49" spans="1:4" ht="15" customHeight="1" thickBot="1">
      <c r="A49" s="39" t="s">
        <v>52</v>
      </c>
      <c r="B49" s="40">
        <f>SUM(E46,K46,Q46)</f>
        <v>11011.6805</v>
      </c>
      <c r="C49" s="57"/>
      <c r="D49" s="57"/>
    </row>
    <row r="50" spans="1:4" ht="15" customHeight="1">
      <c r="A50" s="41" t="s">
        <v>53</v>
      </c>
      <c r="B50" s="41">
        <v>43</v>
      </c>
      <c r="C50" s="57"/>
      <c r="D50" s="57"/>
    </row>
    <row r="51" spans="1:4" ht="27.95" customHeight="1">
      <c r="A51" s="42" t="s">
        <v>54</v>
      </c>
      <c r="B51" s="43">
        <f>B50*160</f>
        <v>6880</v>
      </c>
      <c r="C51" s="57"/>
      <c r="D51" s="57"/>
    </row>
    <row r="52" spans="1:4" ht="30" customHeight="1">
      <c r="A52" s="44" t="s">
        <v>55</v>
      </c>
      <c r="B52" s="45">
        <f>B49-B51</f>
        <v>4131.6805000000004</v>
      </c>
    </row>
  </sheetData>
  <mergeCells count="30">
    <mergeCell ref="C49:D51"/>
    <mergeCell ref="D41:E41"/>
    <mergeCell ref="J41:K41"/>
    <mergeCell ref="P41:Q41"/>
    <mergeCell ref="B42:C42"/>
    <mergeCell ref="D42:E42"/>
    <mergeCell ref="H42:I42"/>
    <mergeCell ref="N42:O42"/>
    <mergeCell ref="P42:Q42"/>
    <mergeCell ref="H22:I22"/>
    <mergeCell ref="J22:K22"/>
    <mergeCell ref="N22:O22"/>
    <mergeCell ref="P22:Q22"/>
    <mergeCell ref="D39:E39"/>
    <mergeCell ref="J39:K39"/>
    <mergeCell ref="P39:Q39"/>
    <mergeCell ref="P21:Q21"/>
    <mergeCell ref="R2:U8"/>
    <mergeCell ref="D9:E9"/>
    <mergeCell ref="P9:Q9"/>
    <mergeCell ref="J10:K10"/>
    <mergeCell ref="P11:Q11"/>
    <mergeCell ref="J12:K12"/>
    <mergeCell ref="N12:O12"/>
    <mergeCell ref="P12:Q12"/>
    <mergeCell ref="H13:I13"/>
    <mergeCell ref="J13:K13"/>
    <mergeCell ref="B15:E21"/>
    <mergeCell ref="J19:K19"/>
    <mergeCell ref="J21:K21"/>
  </mergeCells>
  <conditionalFormatting sqref="B52">
    <cfRule type="expression" dxfId="26" priority="17">
      <formula>$B$52&gt;0</formula>
    </cfRule>
  </conditionalFormatting>
  <conditionalFormatting sqref="D11:E11">
    <cfRule type="expression" dxfId="25" priority="20" stopIfTrue="1">
      <formula>$C$9&gt;=($C$11+-($C$11*0.1))</formula>
    </cfRule>
    <cfRule type="expression" dxfId="24" priority="21">
      <formula>$C$11&gt;$C$9</formula>
    </cfRule>
  </conditionalFormatting>
  <conditionalFormatting sqref="D41:E41">
    <cfRule type="expression" dxfId="23" priority="1" stopIfTrue="1">
      <formula>C39&gt;=(C41+-(C41*0.1))</formula>
    </cfRule>
    <cfRule type="expression" dxfId="22" priority="2">
      <formula>C41&gt;C39</formula>
    </cfRule>
  </conditionalFormatting>
  <conditionalFormatting sqref="E2:E8">
    <cfRule type="top10" dxfId="21" priority="13" stopIfTrue="1" rank="1"/>
  </conditionalFormatting>
  <conditionalFormatting sqref="J41">
    <cfRule type="expression" dxfId="20" priority="3" stopIfTrue="1">
      <formula>I39&gt;=(I41+-(I41*0.1))</formula>
    </cfRule>
    <cfRule type="expression" dxfId="19" priority="4">
      <formula>I41&gt;I39</formula>
    </cfRule>
  </conditionalFormatting>
  <conditionalFormatting sqref="J12:K12">
    <cfRule type="expression" dxfId="18" priority="24" stopIfTrue="1">
      <formula>$I10&gt;=($I12+-($I12*0.1))</formula>
    </cfRule>
    <cfRule type="expression" dxfId="17" priority="25">
      <formula>$I12&gt;$I10</formula>
    </cfRule>
  </conditionalFormatting>
  <conditionalFormatting sqref="J21:K21">
    <cfRule type="expression" dxfId="16" priority="9" stopIfTrue="1">
      <formula>I19&gt;=(I21+-(I21*0.1))</formula>
    </cfRule>
    <cfRule type="expression" dxfId="15" priority="10">
      <formula>I21&gt;I19</formula>
    </cfRule>
  </conditionalFormatting>
  <conditionalFormatting sqref="K2:K9">
    <cfRule type="top10" dxfId="14" priority="14" stopIfTrue="1" rank="1"/>
  </conditionalFormatting>
  <conditionalFormatting sqref="K15:K18">
    <cfRule type="top10" dxfId="13" priority="12" stopIfTrue="1" rank="1"/>
  </conditionalFormatting>
  <conditionalFormatting sqref="K32:K38">
    <cfRule type="top10" dxfId="12" priority="22" stopIfTrue="1" rank="1"/>
  </conditionalFormatting>
  <conditionalFormatting sqref="P21">
    <cfRule type="expression" dxfId="11" priority="7" stopIfTrue="1">
      <formula>O19&gt;=(O21+-(O21*0.1))</formula>
    </cfRule>
    <cfRule type="expression" dxfId="10" priority="8">
      <formula>O21&gt;O19</formula>
    </cfRule>
  </conditionalFormatting>
  <conditionalFormatting sqref="P41">
    <cfRule type="expression" dxfId="9" priority="5" stopIfTrue="1">
      <formula>O39&gt;=(O41+-(O41*0.1))</formula>
    </cfRule>
    <cfRule type="expression" dxfId="8" priority="6">
      <formula>O41&gt;O39</formula>
    </cfRule>
  </conditionalFormatting>
  <conditionalFormatting sqref="P11:Q11">
    <cfRule type="expression" dxfId="7" priority="18" stopIfTrue="1">
      <formula>$O$9&gt;=($O$11+-($O$11*0.1))</formula>
    </cfRule>
    <cfRule type="expression" dxfId="6" priority="19">
      <formula>$O$11&gt;$O$9</formula>
    </cfRule>
  </conditionalFormatting>
  <conditionalFormatting sqref="Q2:Q8">
    <cfRule type="top10" dxfId="5" priority="15" rank="1"/>
    <cfRule type="top10" dxfId="4" priority="16" stopIfTrue="1" rank="1"/>
  </conditionalFormatting>
  <conditionalFormatting sqref="Q15:Q18">
    <cfRule type="top10" dxfId="3" priority="11" stopIfTrue="1" rank="1"/>
    <cfRule type="top10" dxfId="2" priority="23" rank="1"/>
  </conditionalFormatting>
  <conditionalFormatting sqref="E32:E38">
    <cfRule type="top10" dxfId="1" priority="26" stopIfTrue="1" rank="1"/>
  </conditionalFormatting>
  <conditionalFormatting sqref="Q32:Q38">
    <cfRule type="top10" dxfId="0" priority="27" stopIfTrue="1" rank="1"/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Props1.xml><?xml version="1.0" encoding="utf-8"?>
<ds:datastoreItem xmlns:ds="http://schemas.openxmlformats.org/officeDocument/2006/customXml" ds:itemID="{94CB655D-CFD0-48DB-8424-B3CF1F361D21}"/>
</file>

<file path=customXml/itemProps2.xml><?xml version="1.0" encoding="utf-8"?>
<ds:datastoreItem xmlns:ds="http://schemas.openxmlformats.org/officeDocument/2006/customXml" ds:itemID="{A9265A82-4392-4753-9546-2F598832EF05}"/>
</file>

<file path=customXml/itemProps3.xml><?xml version="1.0" encoding="utf-8"?>
<ds:datastoreItem xmlns:ds="http://schemas.openxmlformats.org/officeDocument/2006/customXml" ds:itemID="{F94A6D29-6DE5-41D0-86F6-87EF14BCD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Wilder</dc:creator>
  <cp:keywords/>
  <dc:description/>
  <cp:lastModifiedBy>Alex Wilder</cp:lastModifiedBy>
  <cp:revision/>
  <dcterms:created xsi:type="dcterms:W3CDTF">2026-04-20T23:27:05Z</dcterms:created>
  <dcterms:modified xsi:type="dcterms:W3CDTF">2026-04-21T15:27:19Z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