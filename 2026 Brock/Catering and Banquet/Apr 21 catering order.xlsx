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alexwilder/iCloud Drive (Archive)/Documents/Documents - Alex’s MacBook Air/Grad School/OE3C/"/>
    </mc:Choice>
  </mc:AlternateContent>
  <xr:revisionPtr revIDLastSave="170" documentId="13_ncr:1_{98BE43FB-870C-F34B-A5C2-D0C2B4EF72EF}" xr6:coauthVersionLast="47" xr6:coauthVersionMax="47" xr10:uidLastSave="{21EAB78F-AFF1-4384-8622-CDC05D9E67AA}"/>
  <bookViews>
    <workbookView xWindow="760" yWindow="1100" windowWidth="27640" windowHeight="15560" xr2:uid="{DCB8EBB7-C414-894C-8896-5FF89AC4B001}"/>
  </bookViews>
  <sheets>
    <sheet name="Strict version-boxed lunch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  <c r="E3" i="7"/>
  <c r="E4" i="7"/>
  <c r="E5" i="7"/>
  <c r="Q13" i="7"/>
  <c r="K13" i="7"/>
  <c r="E13" i="7"/>
  <c r="Q20" i="7"/>
  <c r="K20" i="7"/>
  <c r="E20" i="7"/>
  <c r="Q19" i="7"/>
  <c r="K19" i="7"/>
  <c r="E19" i="7"/>
  <c r="Q18" i="7"/>
  <c r="K18" i="7"/>
  <c r="E18" i="7"/>
  <c r="Q17" i="7"/>
  <c r="K17" i="7"/>
  <c r="K21" i="7" s="1"/>
  <c r="E17" i="7"/>
  <c r="E21" i="7" s="1"/>
  <c r="Q16" i="7"/>
  <c r="K16" i="7"/>
  <c r="E16" i="7"/>
  <c r="Q10" i="7"/>
  <c r="K10" i="7"/>
  <c r="Q9" i="7"/>
  <c r="K9" i="7"/>
  <c r="Q8" i="7"/>
  <c r="K8" i="7"/>
  <c r="K11" i="7" s="1"/>
  <c r="Q5" i="7"/>
  <c r="K5" i="7"/>
  <c r="Q4" i="7"/>
  <c r="K4" i="7"/>
  <c r="Q3" i="7"/>
  <c r="K3" i="7"/>
  <c r="Q2" i="7"/>
  <c r="K2" i="7"/>
  <c r="K6" i="7" s="1"/>
  <c r="K22" i="7" s="1"/>
  <c r="E2" i="7"/>
  <c r="E9" i="7" s="1"/>
  <c r="Q6" i="7" l="1"/>
  <c r="Q11" i="7"/>
  <c r="Q21" i="7"/>
  <c r="Q22" i="7" l="1"/>
  <c r="B24" i="7" s="1"/>
  <c r="B26" i="7" s="1"/>
</calcChain>
</file>

<file path=xl/sharedStrings.xml><?xml version="1.0" encoding="utf-8"?>
<sst xmlns="http://schemas.openxmlformats.org/spreadsheetml/2006/main" count="92" uniqueCount="43">
  <si>
    <t>Section</t>
  </si>
  <si>
    <t xml:space="preserve">Thurs (80 attendees) </t>
  </si>
  <si>
    <t>Qty</t>
  </si>
  <si>
    <t>Unit price</t>
  </si>
  <si>
    <t>Total costs</t>
  </si>
  <si>
    <t xml:space="preserve">Friday (81 attendees) </t>
  </si>
  <si>
    <t xml:space="preserve">Saturday (67 Attendees) </t>
  </si>
  <si>
    <t>Breakfast</t>
  </si>
  <si>
    <t>Fair Trade Coffee - 100 Cup Urn</t>
  </si>
  <si>
    <t>Poster preview</t>
  </si>
  <si>
    <t xml:space="preserve">Pond Inlet </t>
  </si>
  <si>
    <t>Tea Service</t>
  </si>
  <si>
    <t xml:space="preserve">Plaza </t>
  </si>
  <si>
    <t>Pond</t>
  </si>
  <si>
    <t>10:30am</t>
  </si>
  <si>
    <t>Fresh Fruit Platter - Serves 12</t>
  </si>
  <si>
    <t>Cookie and Brownie Tray - Serves 12</t>
  </si>
  <si>
    <t>Leftover to be brough to pond at 9:00</t>
  </si>
  <si>
    <t>Danish tray -12</t>
  </si>
  <si>
    <t>Muffin tray - 12</t>
  </si>
  <si>
    <t xml:space="preserve">Food (for LOC and volunteers especially) to be left out from morning to lunch and not refreshed by catering </t>
  </si>
  <si>
    <t xml:space="preserve">Break total </t>
  </si>
  <si>
    <t xml:space="preserve">Refresh </t>
  </si>
  <si>
    <t>Cookie tray - 12</t>
  </si>
  <si>
    <t>Refresh</t>
  </si>
  <si>
    <t>Coffee Urn - 100 cups</t>
  </si>
  <si>
    <t xml:space="preserve">Pond </t>
  </si>
  <si>
    <t>Fruit tray - 12</t>
  </si>
  <si>
    <t>Break total</t>
  </si>
  <si>
    <t>Lunch</t>
  </si>
  <si>
    <t>Boxed Lunch</t>
  </si>
  <si>
    <t>pond</t>
  </si>
  <si>
    <t xml:space="preserve">Full Coffee Break </t>
  </si>
  <si>
    <t xml:space="preserve">Poster Coffee break </t>
  </si>
  <si>
    <t>Full Coffee Break</t>
  </si>
  <si>
    <t>plaza</t>
  </si>
  <si>
    <t>4:30pm</t>
  </si>
  <si>
    <t>Vegetable Platter - Assuming 18 servings</t>
  </si>
  <si>
    <t xml:space="preserve">2:30pm </t>
  </si>
  <si>
    <t xml:space="preserve">Daily Total </t>
  </si>
  <si>
    <t>Catering total</t>
  </si>
  <si>
    <t>Ticket total</t>
  </si>
  <si>
    <t xml:space="preserve">Overage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</si>
</sst>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-[$$-409]* #,##0.00_ ;_-[$$-409]* \-#,##0.00\ ;_-[$$-409]* &quot;-&quot;??_ ;_-@_ 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64" fontId="1" fillId="0" borderId="1" xfId="0" applyNumberFormat="1" applyFont="1" applyBorder="1"/>
    <xf numFmtId="0" fontId="1" fillId="3" borderId="1" xfId="0" applyFont="1" applyFill="1" applyBorder="1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2" fillId="0" borderId="0" xfId="0" applyFont="1"/>
    <xf numFmtId="18" fontId="2" fillId="0" borderId="0" xfId="0" applyNumberFormat="1" applyFont="1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0" fillId="3" borderId="3" xfId="0" applyFill="1" applyBorder="1"/>
    <xf numFmtId="0" fontId="1" fillId="0" borderId="0" xfId="0" applyFont="1" applyAlignment="1">
      <alignment horizontal="center" wrapText="1"/>
    </xf>
    <xf numFmtId="164" fontId="0" fillId="4" borderId="0" xfId="0" applyNumberFormat="1" applyFill="1"/>
    <xf numFmtId="0" fontId="1" fillId="5" borderId="0" xfId="0" applyFont="1" applyFill="1"/>
    <xf numFmtId="0" fontId="0" fillId="5" borderId="0" xfId="0" applyFill="1"/>
    <xf numFmtId="164" fontId="0" fillId="5" borderId="0" xfId="0" applyNumberFormat="1" applyFill="1"/>
    <xf numFmtId="20" fontId="0" fillId="0" borderId="0" xfId="0" applyNumberFormat="1"/>
    <xf numFmtId="164" fontId="0" fillId="4" borderId="3" xfId="0" applyNumberFormat="1" applyFill="1" applyBorder="1"/>
    <xf numFmtId="0" fontId="3" fillId="6" borderId="0" xfId="0" applyFont="1" applyFill="1"/>
    <xf numFmtId="165" fontId="4" fillId="6" borderId="0" xfId="0" applyNumberFormat="1" applyFont="1" applyFill="1"/>
    <xf numFmtId="0" fontId="1" fillId="7" borderId="0" xfId="0" applyFont="1" applyFill="1"/>
    <xf numFmtId="0" fontId="0" fillId="7" borderId="0" xfId="0" applyFill="1"/>
    <xf numFmtId="164" fontId="0" fillId="7" borderId="0" xfId="0" applyNumberFormat="1" applyFill="1"/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0"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  <dxf>
      <fill>
        <patternFill>
          <bgColor rgb="FFFFB3A8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7CCEC-DCD9-224F-ADC6-BC7B409DA36D}">
  <dimension ref="A1:U26"/>
  <sheetViews>
    <sheetView tabSelected="1" zoomScale="125" zoomScaleNormal="100" workbookViewId="0">
      <selection activeCell="B26" sqref="B26"/>
    </sheetView>
  </sheetViews>
  <sheetFormatPr defaultColWidth="8.85546875" defaultRowHeight="15" customHeight="1"/>
  <cols>
    <col min="1" max="1" width="13.85546875" style="10" customWidth="1"/>
    <col min="2" max="2" width="34" customWidth="1"/>
    <col min="3" max="3" width="7.28515625" customWidth="1"/>
    <col min="4" max="4" width="12.85546875" style="6" customWidth="1"/>
    <col min="5" max="5" width="15.140625" style="6" customWidth="1"/>
    <col min="6" max="6" width="1" style="7" customWidth="1"/>
    <col min="7" max="7" width="12.7109375" style="10" customWidth="1"/>
    <col min="8" max="8" width="35.42578125" bestFit="1" customWidth="1"/>
    <col min="9" max="9" width="9" customWidth="1"/>
    <col min="10" max="10" width="14.140625" style="6" customWidth="1"/>
    <col min="11" max="11" width="13.28515625" style="6" customWidth="1"/>
    <col min="12" max="12" width="0.85546875" style="7" customWidth="1"/>
    <col min="13" max="13" width="11.42578125" style="10" customWidth="1"/>
    <col min="14" max="14" width="35.42578125" bestFit="1" customWidth="1"/>
    <col min="15" max="15" width="7.85546875" customWidth="1"/>
    <col min="16" max="16" width="13.85546875" style="6" customWidth="1"/>
    <col min="17" max="17" width="12.42578125" style="6" customWidth="1"/>
  </cols>
  <sheetData>
    <row r="1" spans="1:21" s="1" customForma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/>
      <c r="G1" s="1" t="s">
        <v>0</v>
      </c>
      <c r="H1" s="2" t="s">
        <v>5</v>
      </c>
      <c r="I1" s="1" t="s">
        <v>2</v>
      </c>
      <c r="J1" s="3" t="s">
        <v>3</v>
      </c>
      <c r="K1" s="3" t="s">
        <v>4</v>
      </c>
      <c r="L1" s="4"/>
      <c r="M1" s="1" t="s">
        <v>0</v>
      </c>
      <c r="N1" s="2" t="s">
        <v>6</v>
      </c>
      <c r="O1" s="1" t="s">
        <v>2</v>
      </c>
      <c r="P1" s="3" t="s">
        <v>3</v>
      </c>
      <c r="Q1" s="3" t="s">
        <v>4</v>
      </c>
    </row>
    <row r="2" spans="1:21">
      <c r="A2" s="5" t="s">
        <v>7</v>
      </c>
      <c r="B2" t="s">
        <v>8</v>
      </c>
      <c r="C2">
        <v>1</v>
      </c>
      <c r="D2" s="6">
        <v>149.35</v>
      </c>
      <c r="E2" s="6">
        <f>C2*D2</f>
        <v>149.35</v>
      </c>
      <c r="G2" s="5" t="s">
        <v>9</v>
      </c>
      <c r="H2" t="s">
        <v>8</v>
      </c>
      <c r="I2">
        <v>2</v>
      </c>
      <c r="J2" s="6">
        <v>149.35</v>
      </c>
      <c r="K2" s="6">
        <f>I2*J2</f>
        <v>298.7</v>
      </c>
      <c r="M2" s="5" t="s">
        <v>7</v>
      </c>
      <c r="N2" t="s">
        <v>8</v>
      </c>
      <c r="O2">
        <v>2</v>
      </c>
      <c r="P2" s="6">
        <v>149.35</v>
      </c>
      <c r="Q2" s="6">
        <f>O2*P2</f>
        <v>298.7</v>
      </c>
      <c r="R2" s="29"/>
      <c r="S2" s="29"/>
      <c r="T2" s="29"/>
      <c r="U2" s="29"/>
    </row>
    <row r="3" spans="1:21">
      <c r="A3" s="8" t="s">
        <v>10</v>
      </c>
      <c r="B3" t="s">
        <v>11</v>
      </c>
      <c r="C3">
        <v>1</v>
      </c>
      <c r="D3" s="6">
        <v>15.45</v>
      </c>
      <c r="E3" s="6">
        <f t="shared" ref="E3:E5" si="0">C3*D3</f>
        <v>15.45</v>
      </c>
      <c r="G3" s="8" t="s">
        <v>12</v>
      </c>
      <c r="H3" t="s">
        <v>11</v>
      </c>
      <c r="I3">
        <v>1</v>
      </c>
      <c r="J3" s="6">
        <v>15.45</v>
      </c>
      <c r="K3" s="6">
        <f t="shared" ref="K3" si="1">I3*J3</f>
        <v>15.45</v>
      </c>
      <c r="M3" s="8" t="s">
        <v>13</v>
      </c>
      <c r="N3" t="s">
        <v>11</v>
      </c>
      <c r="O3">
        <v>1</v>
      </c>
      <c r="P3" s="6">
        <v>15.45</v>
      </c>
      <c r="Q3" s="6">
        <f t="shared" ref="Q3" si="2">O3*P3</f>
        <v>15.45</v>
      </c>
      <c r="R3" s="30"/>
      <c r="S3" s="30"/>
      <c r="T3" s="30"/>
      <c r="U3" s="30"/>
    </row>
    <row r="4" spans="1:21">
      <c r="A4" s="8" t="s">
        <v>14</v>
      </c>
      <c r="B4" t="s">
        <v>15</v>
      </c>
      <c r="C4">
        <v>4</v>
      </c>
      <c r="D4" s="6">
        <v>36</v>
      </c>
      <c r="E4" s="6">
        <f t="shared" si="0"/>
        <v>144</v>
      </c>
      <c r="G4" s="9">
        <v>0.33333333333333331</v>
      </c>
      <c r="H4" t="s">
        <v>15</v>
      </c>
      <c r="I4">
        <v>5</v>
      </c>
      <c r="J4" s="6">
        <v>36</v>
      </c>
      <c r="K4" s="6">
        <f>I4*J4</f>
        <v>180</v>
      </c>
      <c r="M4" s="9">
        <v>0.35416666666666669</v>
      </c>
      <c r="N4" t="s">
        <v>15</v>
      </c>
      <c r="O4">
        <v>3</v>
      </c>
      <c r="P4" s="6">
        <v>36</v>
      </c>
      <c r="Q4" s="6">
        <f>O4*P4</f>
        <v>108</v>
      </c>
      <c r="R4" s="30"/>
      <c r="S4" s="30"/>
      <c r="T4" s="30"/>
      <c r="U4" s="30"/>
    </row>
    <row r="5" spans="1:21" ht="43.5">
      <c r="B5" t="s">
        <v>16</v>
      </c>
      <c r="C5">
        <v>6</v>
      </c>
      <c r="D5" s="6">
        <v>18.95</v>
      </c>
      <c r="E5" s="6">
        <f t="shared" si="0"/>
        <v>113.69999999999999</v>
      </c>
      <c r="G5" s="17" t="s">
        <v>17</v>
      </c>
      <c r="H5" t="s">
        <v>18</v>
      </c>
      <c r="I5">
        <v>7</v>
      </c>
      <c r="J5" s="6">
        <v>36</v>
      </c>
      <c r="K5" s="6">
        <f>I5*J5</f>
        <v>252</v>
      </c>
      <c r="N5" t="s">
        <v>19</v>
      </c>
      <c r="O5">
        <v>5</v>
      </c>
      <c r="P5" s="6">
        <v>36</v>
      </c>
      <c r="Q5" s="6">
        <f>O5*P5</f>
        <v>180</v>
      </c>
      <c r="R5" s="30"/>
      <c r="S5" s="30"/>
      <c r="T5" s="30"/>
      <c r="U5" s="30"/>
    </row>
    <row r="6" spans="1:21">
      <c r="B6" s="31" t="s">
        <v>20</v>
      </c>
      <c r="C6" s="31"/>
      <c r="D6" s="31"/>
      <c r="E6" s="31"/>
      <c r="J6" s="18" t="s">
        <v>21</v>
      </c>
      <c r="K6" s="18">
        <f>SUM(K2:K5)</f>
        <v>746.15</v>
      </c>
      <c r="P6" s="18" t="s">
        <v>21</v>
      </c>
      <c r="Q6" s="18">
        <f>SUM(Q2:Q5)</f>
        <v>602.15</v>
      </c>
      <c r="R6" s="30"/>
      <c r="S6" s="30"/>
      <c r="T6" s="30"/>
      <c r="U6" s="30"/>
    </row>
    <row r="7" spans="1:21" ht="6" customHeight="1">
      <c r="B7" s="31"/>
      <c r="C7" s="31"/>
      <c r="D7" s="31"/>
      <c r="E7" s="31"/>
      <c r="G7" s="19"/>
      <c r="H7" s="20"/>
      <c r="I7" s="20"/>
      <c r="J7" s="21"/>
      <c r="K7" s="21"/>
      <c r="M7" s="19"/>
      <c r="N7" s="20"/>
      <c r="O7" s="20"/>
      <c r="P7" s="21"/>
      <c r="Q7" s="21"/>
      <c r="R7" s="30"/>
      <c r="S7" s="30"/>
      <c r="T7" s="30"/>
      <c r="U7" s="30"/>
    </row>
    <row r="8" spans="1:21">
      <c r="B8" s="31"/>
      <c r="C8" s="31"/>
      <c r="D8" s="31"/>
      <c r="E8" s="31"/>
      <c r="G8" s="10" t="s">
        <v>22</v>
      </c>
      <c r="H8" t="s">
        <v>23</v>
      </c>
      <c r="I8">
        <v>3</v>
      </c>
      <c r="J8" s="6">
        <v>18.95</v>
      </c>
      <c r="K8" s="6">
        <f t="shared" ref="K8:K10" si="3">I8*J8</f>
        <v>56.849999999999994</v>
      </c>
      <c r="M8" s="10" t="s">
        <v>24</v>
      </c>
      <c r="N8" t="s">
        <v>25</v>
      </c>
      <c r="O8">
        <v>1</v>
      </c>
      <c r="P8" s="6">
        <v>149.35</v>
      </c>
      <c r="Q8" s="6">
        <f t="shared" ref="Q8:Q10" si="4">O8*P8</f>
        <v>149.35</v>
      </c>
      <c r="R8" s="30"/>
      <c r="S8" s="30"/>
      <c r="T8" s="30"/>
      <c r="U8" s="30"/>
    </row>
    <row r="9" spans="1:21" ht="27.95" customHeight="1">
      <c r="D9" s="18" t="s">
        <v>21</v>
      </c>
      <c r="E9" s="18">
        <f>SUM(E2:E6)</f>
        <v>422.49999999999994</v>
      </c>
      <c r="G9" s="10" t="s">
        <v>26</v>
      </c>
      <c r="H9" t="s">
        <v>25</v>
      </c>
      <c r="I9">
        <v>1</v>
      </c>
      <c r="J9" s="6">
        <v>149.35</v>
      </c>
      <c r="K9" s="6">
        <f t="shared" si="3"/>
        <v>149.35</v>
      </c>
      <c r="M9" s="10" t="s">
        <v>26</v>
      </c>
      <c r="N9" t="s">
        <v>23</v>
      </c>
      <c r="O9">
        <v>2</v>
      </c>
      <c r="P9" s="6">
        <v>18.95</v>
      </c>
      <c r="Q9" s="6">
        <f t="shared" si="4"/>
        <v>37.9</v>
      </c>
      <c r="R9" s="30"/>
      <c r="S9" s="30"/>
      <c r="T9" s="30"/>
      <c r="U9" s="30"/>
    </row>
    <row r="10" spans="1:21" ht="15" customHeight="1">
      <c r="G10" s="22">
        <v>0.43055555555555558</v>
      </c>
      <c r="H10" t="s">
        <v>27</v>
      </c>
      <c r="I10">
        <v>3</v>
      </c>
      <c r="J10" s="6">
        <v>36</v>
      </c>
      <c r="K10" s="6">
        <f t="shared" si="3"/>
        <v>108</v>
      </c>
      <c r="M10" s="22">
        <v>0.4513888888888889</v>
      </c>
      <c r="N10" t="s">
        <v>27</v>
      </c>
      <c r="O10">
        <v>2</v>
      </c>
      <c r="P10" s="6">
        <v>36</v>
      </c>
      <c r="Q10" s="6">
        <f t="shared" si="4"/>
        <v>72</v>
      </c>
    </row>
    <row r="11" spans="1:21" ht="15" customHeight="1">
      <c r="J11" s="18" t="s">
        <v>28</v>
      </c>
      <c r="K11" s="18">
        <f>SUM(K8:K10)</f>
        <v>314.2</v>
      </c>
      <c r="P11" s="18" t="s">
        <v>21</v>
      </c>
      <c r="Q11" s="18">
        <f>SUM(Q7:Q10)</f>
        <v>259.25</v>
      </c>
    </row>
    <row r="13" spans="1:21" s="27" customFormat="1">
      <c r="A13" s="26" t="s">
        <v>29</v>
      </c>
      <c r="B13" s="27" t="s">
        <v>30</v>
      </c>
      <c r="C13" s="27">
        <v>85</v>
      </c>
      <c r="D13" s="28">
        <v>16.489999999999998</v>
      </c>
      <c r="E13" s="28">
        <f>D13*C13</f>
        <v>1401.6499999999999</v>
      </c>
      <c r="G13" s="26" t="s">
        <v>29</v>
      </c>
      <c r="H13" s="27" t="s">
        <v>30</v>
      </c>
      <c r="I13" s="27">
        <v>85</v>
      </c>
      <c r="J13" s="28">
        <v>16.489999999999998</v>
      </c>
      <c r="K13" s="28">
        <f>J13*I13</f>
        <v>1401.6499999999999</v>
      </c>
      <c r="M13" s="26" t="s">
        <v>29</v>
      </c>
      <c r="N13" s="27" t="s">
        <v>30</v>
      </c>
      <c r="O13" s="27">
        <v>70</v>
      </c>
      <c r="P13" s="28">
        <v>16.489999999999998</v>
      </c>
      <c r="Q13" s="28">
        <f>P13*O13</f>
        <v>1154.3</v>
      </c>
    </row>
    <row r="14" spans="1:21">
      <c r="A14" s="10" t="s">
        <v>31</v>
      </c>
      <c r="F14"/>
      <c r="G14" s="10" t="s">
        <v>31</v>
      </c>
      <c r="L14"/>
      <c r="M14" s="10" t="s">
        <v>31</v>
      </c>
    </row>
    <row r="15" spans="1:21" ht="15" customHeight="1">
      <c r="F15"/>
      <c r="L15"/>
    </row>
    <row r="16" spans="1:21" ht="29.25">
      <c r="A16" s="11" t="s">
        <v>32</v>
      </c>
      <c r="B16" t="s">
        <v>8</v>
      </c>
      <c r="C16">
        <v>1</v>
      </c>
      <c r="D16" s="6">
        <v>149.35</v>
      </c>
      <c r="E16" s="6">
        <f>C16*D16</f>
        <v>149.35</v>
      </c>
      <c r="G16" s="11" t="s">
        <v>33</v>
      </c>
      <c r="H16" t="s">
        <v>8</v>
      </c>
      <c r="I16">
        <v>1</v>
      </c>
      <c r="J16" s="6">
        <v>149.35</v>
      </c>
      <c r="K16" s="6">
        <f>I16*J16</f>
        <v>149.35</v>
      </c>
      <c r="M16" s="11" t="s">
        <v>34</v>
      </c>
      <c r="N16" t="s">
        <v>8</v>
      </c>
      <c r="O16">
        <v>1</v>
      </c>
      <c r="P16" s="6">
        <v>149.35</v>
      </c>
      <c r="Q16" s="6">
        <f>O16*P16</f>
        <v>149.35</v>
      </c>
    </row>
    <row r="17" spans="1:17">
      <c r="A17" t="s">
        <v>10</v>
      </c>
      <c r="B17" t="s">
        <v>11</v>
      </c>
      <c r="C17">
        <v>1</v>
      </c>
      <c r="D17" s="6">
        <v>15.45</v>
      </c>
      <c r="E17" s="6">
        <f t="shared" ref="E17" si="5">C17*D17</f>
        <v>15.45</v>
      </c>
      <c r="G17" s="12" t="s">
        <v>35</v>
      </c>
      <c r="H17" t="s">
        <v>11</v>
      </c>
      <c r="I17">
        <v>1</v>
      </c>
      <c r="J17" s="6">
        <v>15.45</v>
      </c>
      <c r="K17" s="6">
        <f t="shared" ref="K17" si="6">I17*J17</f>
        <v>15.45</v>
      </c>
      <c r="M17" s="8" t="s">
        <v>13</v>
      </c>
      <c r="N17" t="s">
        <v>11</v>
      </c>
      <c r="O17">
        <v>1</v>
      </c>
      <c r="P17" s="6">
        <v>15.45</v>
      </c>
      <c r="Q17" s="6">
        <f t="shared" ref="Q17" si="7">O17*P17</f>
        <v>15.45</v>
      </c>
    </row>
    <row r="18" spans="1:17">
      <c r="A18" s="8" t="s">
        <v>36</v>
      </c>
      <c r="B18" t="s">
        <v>37</v>
      </c>
      <c r="C18">
        <v>2</v>
      </c>
      <c r="D18" s="6">
        <v>54</v>
      </c>
      <c r="E18" s="6">
        <f>C18*D18</f>
        <v>108</v>
      </c>
      <c r="G18" s="13" t="s">
        <v>38</v>
      </c>
      <c r="H18" t="s">
        <v>37</v>
      </c>
      <c r="I18">
        <v>2</v>
      </c>
      <c r="J18" s="6">
        <v>54</v>
      </c>
      <c r="K18" s="6">
        <f>I18*J18</f>
        <v>108</v>
      </c>
      <c r="M18" s="9">
        <v>0.64583333333333337</v>
      </c>
      <c r="N18" t="s">
        <v>37</v>
      </c>
      <c r="O18">
        <v>1</v>
      </c>
      <c r="P18" s="6">
        <v>54</v>
      </c>
      <c r="Q18" s="6">
        <f>O18*P18</f>
        <v>54</v>
      </c>
    </row>
    <row r="19" spans="1:17">
      <c r="B19" t="s">
        <v>15</v>
      </c>
      <c r="C19">
        <v>4</v>
      </c>
      <c r="D19" s="6">
        <v>36</v>
      </c>
      <c r="E19" s="6">
        <f>C19*D19</f>
        <v>144</v>
      </c>
      <c r="H19" t="s">
        <v>15</v>
      </c>
      <c r="I19">
        <v>4</v>
      </c>
      <c r="J19" s="6">
        <v>36</v>
      </c>
      <c r="K19" s="6">
        <f>I19*J19</f>
        <v>144</v>
      </c>
      <c r="M19" s="8"/>
      <c r="N19" t="s">
        <v>15</v>
      </c>
      <c r="O19">
        <v>3</v>
      </c>
      <c r="P19" s="6">
        <v>36</v>
      </c>
      <c r="Q19" s="6">
        <f>O19*P19</f>
        <v>108</v>
      </c>
    </row>
    <row r="20" spans="1:17">
      <c r="B20" t="s">
        <v>16</v>
      </c>
      <c r="C20">
        <v>6</v>
      </c>
      <c r="D20" s="6">
        <v>18.95</v>
      </c>
      <c r="E20" s="6">
        <f>C20*D20</f>
        <v>113.69999999999999</v>
      </c>
      <c r="H20" t="s">
        <v>16</v>
      </c>
      <c r="I20">
        <v>6</v>
      </c>
      <c r="J20" s="6">
        <v>18.95</v>
      </c>
      <c r="K20" s="6">
        <f>I20*J20</f>
        <v>113.69999999999999</v>
      </c>
      <c r="N20" t="s">
        <v>16</v>
      </c>
      <c r="O20">
        <v>5</v>
      </c>
      <c r="P20" s="6">
        <v>18.95</v>
      </c>
      <c r="Q20" s="6">
        <f>O20*P20</f>
        <v>94.75</v>
      </c>
    </row>
    <row r="21" spans="1:17" s="15" customFormat="1">
      <c r="A21" s="14"/>
      <c r="D21" s="23" t="s">
        <v>21</v>
      </c>
      <c r="E21" s="23">
        <f>SUM(E17:E20)</f>
        <v>381.15</v>
      </c>
      <c r="F21" s="16"/>
      <c r="G21" s="14"/>
      <c r="J21" s="23" t="s">
        <v>21</v>
      </c>
      <c r="K21" s="23">
        <f>SUM(K17:K20)</f>
        <v>381.15</v>
      </c>
      <c r="L21" s="16"/>
      <c r="M21" s="14"/>
      <c r="P21" s="23" t="s">
        <v>21</v>
      </c>
      <c r="Q21" s="23">
        <f>SUM(Q17:Q20)</f>
        <v>272.2</v>
      </c>
    </row>
    <row r="22" spans="1:17" ht="15" customHeight="1">
      <c r="D22" s="6" t="s">
        <v>39</v>
      </c>
      <c r="E22" s="6">
        <f>SUM(E9+E13+E21)</f>
        <v>2205.2999999999997</v>
      </c>
      <c r="J22" s="6" t="s">
        <v>39</v>
      </c>
      <c r="K22" s="6">
        <f>SUM(K6,K11,K13,K21)</f>
        <v>2843.15</v>
      </c>
      <c r="P22" s="6" t="s">
        <v>39</v>
      </c>
      <c r="Q22" s="6">
        <f>SUM(Q6,Q11,Q13,Q21)</f>
        <v>2287.8999999999996</v>
      </c>
    </row>
    <row r="24" spans="1:17" ht="15" customHeight="1">
      <c r="A24" s="10" t="s">
        <v>40</v>
      </c>
      <c r="B24" s="6">
        <f>SUM(E22,K22,Q22)</f>
        <v>7336.3499999999995</v>
      </c>
    </row>
    <row r="25" spans="1:17" ht="15" customHeight="1">
      <c r="A25" s="10" t="s">
        <v>41</v>
      </c>
      <c r="B25">
        <v>7032</v>
      </c>
    </row>
    <row r="26" spans="1:17" ht="15" customHeight="1">
      <c r="A26" s="24" t="s">
        <v>42</v>
      </c>
      <c r="B26" s="25">
        <f>B24-B25</f>
        <v>304.34999999999945</v>
      </c>
    </row>
  </sheetData>
  <mergeCells count="2">
    <mergeCell ref="R2:U9"/>
    <mergeCell ref="B6:E8"/>
  </mergeCells>
  <conditionalFormatting sqref="E16:E20">
    <cfRule type="top10" dxfId="9" priority="31" stopIfTrue="1" rank="1"/>
  </conditionalFormatting>
  <conditionalFormatting sqref="E2:E5">
    <cfRule type="top10" dxfId="8" priority="32" stopIfTrue="1" rank="1"/>
  </conditionalFormatting>
  <conditionalFormatting sqref="Q2:Q5">
    <cfRule type="top10" dxfId="7" priority="34" rank="1"/>
    <cfRule type="top10" dxfId="6" priority="35" stopIfTrue="1" rank="1"/>
  </conditionalFormatting>
  <conditionalFormatting sqref="K2:K5">
    <cfRule type="top10" dxfId="5" priority="39" stopIfTrue="1" rank="1"/>
  </conditionalFormatting>
  <conditionalFormatting sqref="K8:K10">
    <cfRule type="top10" dxfId="4" priority="40" stopIfTrue="1" rank="1"/>
  </conditionalFormatting>
  <conditionalFormatting sqref="Q8:Q10">
    <cfRule type="top10" dxfId="3" priority="41" stopIfTrue="1" rank="1"/>
    <cfRule type="top10" dxfId="2" priority="42" rank="1"/>
  </conditionalFormatting>
  <conditionalFormatting sqref="K16:K20">
    <cfRule type="top10" dxfId="1" priority="43" stopIfTrue="1" rank="1"/>
  </conditionalFormatting>
  <conditionalFormatting sqref="Q16:Q20">
    <cfRule type="top10" dxfId="0" priority="44" stopIfTrue="1" rank="1"/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66800e-b8c8-4f1d-9966-46ed6851c537">
      <Terms xmlns="http://schemas.microsoft.com/office/infopath/2007/PartnerControls"/>
    </lcf76f155ced4ddcb4097134ff3c332f>
    <TaxCatchAll xmlns="ac658da9-eddc-40b3-a3e4-f4ed2eb4c2ea" xsi:nil="true"/>
    <Logo xmlns="4f66800e-b8c8-4f1d-9966-46ed6851c5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B655D-CFD0-48DB-8424-B3CF1F361D21}"/>
</file>

<file path=customXml/itemProps2.xml><?xml version="1.0" encoding="utf-8"?>
<ds:datastoreItem xmlns:ds="http://schemas.openxmlformats.org/officeDocument/2006/customXml" ds:itemID="{F94A6D29-6DE5-41D0-86F6-87EF14BCD41E}"/>
</file>

<file path=customXml/itemProps3.xml><?xml version="1.0" encoding="utf-8"?>
<ds:datastoreItem xmlns:ds="http://schemas.openxmlformats.org/officeDocument/2006/customXml" ds:itemID="{A9265A82-4392-4753-9546-2F598832EF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Wilder</dc:creator>
  <cp:keywords/>
  <dc:description/>
  <cp:lastModifiedBy>Sarah Hein</cp:lastModifiedBy>
  <cp:revision/>
  <dcterms:created xsi:type="dcterms:W3CDTF">2026-04-20T23:27:05Z</dcterms:created>
  <dcterms:modified xsi:type="dcterms:W3CDTF">2026-04-21T20:27:15Z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