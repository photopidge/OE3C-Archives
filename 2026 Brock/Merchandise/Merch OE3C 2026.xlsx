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brocku-my.sharepoint.com/personal/ln15ks_brocku_ca/Documents/"/>
    </mc:Choice>
  </mc:AlternateContent>
  <xr:revisionPtr revIDLastSave="684" documentId="8_{80016B02-15A7-4A64-9A9A-2166723374E0}" xr6:coauthVersionLast="47" xr6:coauthVersionMax="47" xr10:uidLastSave="{1D750DF4-378B-436B-A89D-7AB60D234A87}"/>
  <bookViews>
    <workbookView xWindow="-120" yWindow="-120" windowWidth="29040" windowHeight="15840" firstSheet="5" activeTab="5" xr2:uid="{6A9E4E76-6EAA-4574-B057-BC0711E52A8E}"/>
  </bookViews>
  <sheets>
    <sheet name="COMMITTEE" sheetId="2" r:id="rId1"/>
    <sheet name="VOLUNTEERS" sheetId="3" r:id="rId2"/>
    <sheet name="PURCHASED - ATTENDEES" sheetId="4" r:id="rId3"/>
    <sheet name="PLENARIES" sheetId="5" r:id="rId4"/>
    <sheet name="ORDER SUMMARY - CALHOUNS" sheetId="1" r:id="rId5"/>
    <sheet name="PromoCentre" sheetId="6" r:id="rId6"/>
    <sheet name="Trophi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G4" i="6" s="1"/>
  <c r="G2" i="6"/>
  <c r="G3" i="6"/>
  <c r="G8" i="6"/>
  <c r="E6" i="5"/>
  <c r="F26" i="4"/>
  <c r="D35" i="3"/>
  <c r="D20" i="2"/>
  <c r="L36" i="1"/>
  <c r="S34" i="1"/>
  <c r="S35" i="1" s="1"/>
  <c r="Y34" i="1"/>
  <c r="Y35" i="1" s="1"/>
  <c r="L35" i="1"/>
  <c r="L34" i="1"/>
  <c r="E35" i="1"/>
  <c r="E34" i="1"/>
  <c r="E36" i="1" s="1"/>
  <c r="D37" i="1" l="1"/>
</calcChain>
</file>

<file path=xl/sharedStrings.xml><?xml version="1.0" encoding="utf-8"?>
<sst xmlns="http://schemas.openxmlformats.org/spreadsheetml/2006/main" count="521" uniqueCount="131">
  <si>
    <t>Name</t>
  </si>
  <si>
    <t>Style</t>
  </si>
  <si>
    <t>Shirt size</t>
  </si>
  <si>
    <t>Number of shirts wanted</t>
  </si>
  <si>
    <t>Madelaine</t>
  </si>
  <si>
    <t>crew neck</t>
  </si>
  <si>
    <t>XL</t>
  </si>
  <si>
    <t>Cassia Hamilton</t>
  </si>
  <si>
    <t>Reem</t>
  </si>
  <si>
    <t>M</t>
  </si>
  <si>
    <t>Lauren Nesbitt</t>
  </si>
  <si>
    <t>Crew neck</t>
  </si>
  <si>
    <t>S</t>
  </si>
  <si>
    <t>Sarah</t>
  </si>
  <si>
    <t>Matthew</t>
  </si>
  <si>
    <t>Rasa</t>
  </si>
  <si>
    <t>crew-neck</t>
  </si>
  <si>
    <t>Xl</t>
  </si>
  <si>
    <t>Harry</t>
  </si>
  <si>
    <t>L</t>
  </si>
  <si>
    <t>Paige</t>
  </si>
  <si>
    <t>Miriam</t>
  </si>
  <si>
    <t>Katharine Yagi</t>
  </si>
  <si>
    <t xml:space="preserve">Alex </t>
  </si>
  <si>
    <t>V-neck</t>
  </si>
  <si>
    <t>XXL</t>
  </si>
  <si>
    <t xml:space="preserve">Kiyoko Gotanda </t>
  </si>
  <si>
    <t>v-neck</t>
  </si>
  <si>
    <t>Wyan</t>
  </si>
  <si>
    <t xml:space="preserve">Lyllian Corbin </t>
  </si>
  <si>
    <t>Nick</t>
  </si>
  <si>
    <t>TOTAL</t>
  </si>
  <si>
    <t>Size</t>
  </si>
  <si>
    <t>Manu Saini</t>
  </si>
  <si>
    <t>Crew</t>
  </si>
  <si>
    <t>Maziar Zare</t>
  </si>
  <si>
    <t>Kaitlyn Mortimer</t>
  </si>
  <si>
    <t>Chloe Pham</t>
  </si>
  <si>
    <t>Deborah Esimoneze</t>
  </si>
  <si>
    <t>Neel Kadam</t>
  </si>
  <si>
    <t>Disha Patel</t>
  </si>
  <si>
    <t>Hannanxuan Lu</t>
  </si>
  <si>
    <t>Julian Shin</t>
  </si>
  <si>
    <t>Ayo Oshodi</t>
  </si>
  <si>
    <t>XS</t>
  </si>
  <si>
    <t>Busola Popoola</t>
  </si>
  <si>
    <t>Sara Mazaheri</t>
  </si>
  <si>
    <t>Zoe Lavoie</t>
  </si>
  <si>
    <t>Ali Dadashzadeh</t>
  </si>
  <si>
    <t xml:space="preserve">Emma Douglas </t>
  </si>
  <si>
    <t>Alana Heeg</t>
  </si>
  <si>
    <t>Emma Croteau</t>
  </si>
  <si>
    <t>Andrew Arroza</t>
  </si>
  <si>
    <t>Shaelyn Mitchell</t>
  </si>
  <si>
    <t>Leticia Briones Cordova</t>
  </si>
  <si>
    <t>Owen Hooker</t>
  </si>
  <si>
    <t>Ella DelBen</t>
  </si>
  <si>
    <t>Eric Kumbhani</t>
  </si>
  <si>
    <t>Caitlyn Tassé</t>
  </si>
  <si>
    <t>???</t>
  </si>
  <si>
    <t>Gabriela Bilotta</t>
  </si>
  <si>
    <t>V Neck</t>
  </si>
  <si>
    <t>Ishit Bhatia</t>
  </si>
  <si>
    <t>Abhay Singh</t>
  </si>
  <si>
    <t>Amanda Gayin</t>
  </si>
  <si>
    <t>Yasamin Aali</t>
  </si>
  <si>
    <t>Ghazaleh Jafari</t>
  </si>
  <si>
    <t>Bruna Lopes Arcoverde</t>
  </si>
  <si>
    <t>Logo</t>
  </si>
  <si>
    <t>Colour</t>
  </si>
  <si>
    <t>Julia Atteck</t>
  </si>
  <si>
    <t>Crest</t>
  </si>
  <si>
    <t>Forest Green</t>
  </si>
  <si>
    <t>Elora Nabon</t>
  </si>
  <si>
    <t xml:space="preserve">Mina Fowle </t>
  </si>
  <si>
    <t>Joe Armstrong</t>
  </si>
  <si>
    <t xml:space="preserve">Grey </t>
  </si>
  <si>
    <t>Molly Nethercott</t>
  </si>
  <si>
    <t>Zoë Lavoie</t>
  </si>
  <si>
    <t>Emma Douglas</t>
  </si>
  <si>
    <t>Joonsoo Sean Lyeo</t>
  </si>
  <si>
    <t>Full</t>
  </si>
  <si>
    <t>Owen Jamieson</t>
  </si>
  <si>
    <t>Grey</t>
  </si>
  <si>
    <t>Alex Wilder</t>
  </si>
  <si>
    <t>Alexia Kallmes</t>
  </si>
  <si>
    <t>Katherine Yagi</t>
  </si>
  <si>
    <t>Rasa Khosrowshahli</t>
  </si>
  <si>
    <t>Abby Thompson</t>
  </si>
  <si>
    <t>Katie Weninger</t>
  </si>
  <si>
    <t>Mark Vicari</t>
  </si>
  <si>
    <t>Jesse Popp</t>
  </si>
  <si>
    <t>2X</t>
  </si>
  <si>
    <t>FREE</t>
  </si>
  <si>
    <t>Nancy Chen</t>
  </si>
  <si>
    <t>Mélanie Guigueno</t>
  </si>
  <si>
    <t>Kiyoko Gotanda</t>
  </si>
  <si>
    <t>Reem Mahamoud</t>
  </si>
  <si>
    <t>ORGANIZING COMMITTEE (Total count = 22)</t>
  </si>
  <si>
    <t>VOLUNTEERS (Total count = 32)</t>
  </si>
  <si>
    <t>ATTENDEES (Total count = 20)</t>
  </si>
  <si>
    <t>PLENARIES (Total count = 3)</t>
  </si>
  <si>
    <t>STYLE - 6400</t>
  </si>
  <si>
    <t>STYLE - 64V00</t>
  </si>
  <si>
    <t>T-Shirt</t>
  </si>
  <si>
    <t>Logo Location</t>
  </si>
  <si>
    <r>
      <t xml:space="preserve">Word Location                          </t>
    </r>
    <r>
      <rPr>
        <b/>
        <sz val="11"/>
        <color theme="1"/>
        <rFont val="Aptos Narrow"/>
        <family val="2"/>
        <scheme val="minor"/>
      </rPr>
      <t>*ON BACK*</t>
    </r>
  </si>
  <si>
    <t xml:space="preserve">Word Location </t>
  </si>
  <si>
    <t>Word Location</t>
  </si>
  <si>
    <t>-</t>
  </si>
  <si>
    <r>
      <t xml:space="preserve">Front- </t>
    </r>
    <r>
      <rPr>
        <b/>
        <sz val="11"/>
        <color theme="1"/>
        <rFont val="Aptos Narrow"/>
        <family val="2"/>
        <scheme val="minor"/>
      </rPr>
      <t>FULL</t>
    </r>
  </si>
  <si>
    <t>Volunter</t>
  </si>
  <si>
    <t>Red</t>
  </si>
  <si>
    <r>
      <t xml:space="preserve">Front - </t>
    </r>
    <r>
      <rPr>
        <b/>
        <sz val="11"/>
        <color theme="1"/>
        <rFont val="Aptos Narrow"/>
        <family val="2"/>
        <scheme val="minor"/>
      </rPr>
      <t>FULL</t>
    </r>
  </si>
  <si>
    <t>Committee</t>
  </si>
  <si>
    <t>Navy</t>
  </si>
  <si>
    <r>
      <t xml:space="preserve">Front - </t>
    </r>
    <r>
      <rPr>
        <b/>
        <sz val="11"/>
        <color theme="1"/>
        <rFont val="Aptos Narrow"/>
        <family val="2"/>
        <scheme val="minor"/>
      </rPr>
      <t>CREST</t>
    </r>
  </si>
  <si>
    <t>TOTAL COUNT OF V-NECKS (64V00)</t>
  </si>
  <si>
    <t>TOTAL COUNT OF T- SHIRTS (6400)</t>
  </si>
  <si>
    <t>TOTAL SHIRTS</t>
  </si>
  <si>
    <t>Item</t>
  </si>
  <si>
    <t>Per Unit Cost</t>
  </si>
  <si>
    <t>SetUp</t>
  </si>
  <si>
    <t>Number Order</t>
  </si>
  <si>
    <t>Tax 13%</t>
  </si>
  <si>
    <t>Shipping</t>
  </si>
  <si>
    <t>Total Cost</t>
  </si>
  <si>
    <t>Ecologist Ballpoint Pen</t>
  </si>
  <si>
    <t>Stickers</t>
  </si>
  <si>
    <t>NA</t>
  </si>
  <si>
    <t>Notebooks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</si>
</sst>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Calibri (Body)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readingOrder="1"/>
    </xf>
    <xf numFmtId="0" fontId="7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1" fillId="7" borderId="1" xfId="0" applyFont="1" applyFill="1" applyBorder="1"/>
    <xf numFmtId="0" fontId="0" fillId="7" borderId="1" xfId="0" applyFill="1" applyBorder="1"/>
    <xf numFmtId="0" fontId="0" fillId="2" borderId="0" xfId="0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BD0C-F831-4577-A75B-66E64AE867F2}">
  <sheetPr>
    <tabColor theme="7" tint="0.39997558519241921"/>
  </sheetPr>
  <dimension ref="A1:D20"/>
  <sheetViews>
    <sheetView workbookViewId="0">
      <selection activeCell="A20" sqref="A20:D20"/>
    </sheetView>
  </sheetViews>
  <sheetFormatPr defaultRowHeight="15"/>
  <cols>
    <col min="1" max="1" width="16.85546875" customWidth="1"/>
    <col min="2" max="2" width="11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  <row r="3" spans="1:4">
      <c r="A3" t="s">
        <v>7</v>
      </c>
      <c r="B3" t="s">
        <v>5</v>
      </c>
      <c r="C3" t="s">
        <v>6</v>
      </c>
      <c r="D3">
        <v>1</v>
      </c>
    </row>
    <row r="4" spans="1:4">
      <c r="A4" t="s">
        <v>8</v>
      </c>
      <c r="B4" t="s">
        <v>5</v>
      </c>
      <c r="C4" t="s">
        <v>9</v>
      </c>
      <c r="D4">
        <v>2</v>
      </c>
    </row>
    <row r="5" spans="1:4">
      <c r="A5" t="s">
        <v>10</v>
      </c>
      <c r="B5" t="s">
        <v>11</v>
      </c>
      <c r="C5" t="s">
        <v>12</v>
      </c>
      <c r="D5">
        <v>1</v>
      </c>
    </row>
    <row r="6" spans="1:4">
      <c r="A6" t="s">
        <v>13</v>
      </c>
      <c r="B6" t="s">
        <v>11</v>
      </c>
      <c r="C6" t="s">
        <v>12</v>
      </c>
      <c r="D6">
        <v>1</v>
      </c>
    </row>
    <row r="7" spans="1:4">
      <c r="A7" t="s">
        <v>14</v>
      </c>
      <c r="B7" t="s">
        <v>5</v>
      </c>
      <c r="C7" t="s">
        <v>9</v>
      </c>
      <c r="D7">
        <v>1</v>
      </c>
    </row>
    <row r="8" spans="1:4">
      <c r="A8" t="s">
        <v>15</v>
      </c>
      <c r="B8" t="s">
        <v>16</v>
      </c>
      <c r="C8" t="s">
        <v>17</v>
      </c>
      <c r="D8">
        <v>1</v>
      </c>
    </row>
    <row r="9" spans="1:4">
      <c r="A9" t="s">
        <v>18</v>
      </c>
      <c r="B9" t="s">
        <v>16</v>
      </c>
      <c r="C9" t="s">
        <v>19</v>
      </c>
      <c r="D9">
        <v>1</v>
      </c>
    </row>
    <row r="10" spans="1:4">
      <c r="A10" t="s">
        <v>20</v>
      </c>
      <c r="B10" t="s">
        <v>16</v>
      </c>
      <c r="C10" t="s">
        <v>9</v>
      </c>
      <c r="D10">
        <v>1</v>
      </c>
    </row>
    <row r="11" spans="1:4">
      <c r="A11" t="s">
        <v>21</v>
      </c>
      <c r="B11" t="s">
        <v>16</v>
      </c>
      <c r="C11" t="s">
        <v>19</v>
      </c>
      <c r="D11">
        <v>1</v>
      </c>
    </row>
    <row r="12" spans="1:4">
      <c r="A12" t="s">
        <v>22</v>
      </c>
      <c r="B12" t="s">
        <v>16</v>
      </c>
      <c r="C12" t="s">
        <v>6</v>
      </c>
      <c r="D12">
        <v>1</v>
      </c>
    </row>
    <row r="13" spans="1:4">
      <c r="A13" t="s">
        <v>23</v>
      </c>
      <c r="B13" t="s">
        <v>24</v>
      </c>
      <c r="C13" t="s">
        <v>25</v>
      </c>
      <c r="D13">
        <v>2</v>
      </c>
    </row>
    <row r="14" spans="1:4">
      <c r="A14" t="s">
        <v>23</v>
      </c>
      <c r="B14" t="s">
        <v>24</v>
      </c>
      <c r="C14" t="s">
        <v>6</v>
      </c>
      <c r="D14">
        <v>1</v>
      </c>
    </row>
    <row r="15" spans="1:4">
      <c r="A15" t="s">
        <v>26</v>
      </c>
      <c r="B15" t="s">
        <v>27</v>
      </c>
      <c r="C15" t="s">
        <v>9</v>
      </c>
      <c r="D15">
        <v>2</v>
      </c>
    </row>
    <row r="16" spans="1:4">
      <c r="A16" t="s">
        <v>28</v>
      </c>
      <c r="B16" t="s">
        <v>24</v>
      </c>
      <c r="C16" t="s">
        <v>9</v>
      </c>
      <c r="D16">
        <v>1</v>
      </c>
    </row>
    <row r="17" spans="1:4">
      <c r="A17" t="s">
        <v>29</v>
      </c>
      <c r="B17" t="s">
        <v>24</v>
      </c>
      <c r="C17" t="s">
        <v>12</v>
      </c>
      <c r="D17">
        <v>2</v>
      </c>
    </row>
    <row r="18" spans="1:4">
      <c r="A18" t="s">
        <v>30</v>
      </c>
      <c r="B18" t="s">
        <v>27</v>
      </c>
      <c r="C18" t="s">
        <v>9</v>
      </c>
      <c r="D18">
        <v>1</v>
      </c>
    </row>
    <row r="20" spans="1:4">
      <c r="A20" s="20" t="s">
        <v>31</v>
      </c>
      <c r="B20" s="20"/>
      <c r="C20" s="20"/>
      <c r="D20" s="17">
        <f>SUM(D2:D18)</f>
        <v>22</v>
      </c>
    </row>
  </sheetData>
  <mergeCells count="1"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0730-0A00-4BF0-B77A-75AB2E94A25F}">
  <sheetPr>
    <tabColor theme="7" tint="0.39997558519241921"/>
  </sheetPr>
  <dimension ref="A1:D35"/>
  <sheetViews>
    <sheetView workbookViewId="0">
      <selection activeCell="H25" sqref="H25"/>
    </sheetView>
  </sheetViews>
  <sheetFormatPr defaultRowHeight="15"/>
  <cols>
    <col min="1" max="1" width="22.85546875" customWidth="1"/>
  </cols>
  <sheetData>
    <row r="1" spans="1:4">
      <c r="A1" t="s">
        <v>0</v>
      </c>
      <c r="B1" t="s">
        <v>32</v>
      </c>
      <c r="C1" t="s">
        <v>1</v>
      </c>
    </row>
    <row r="2" spans="1:4">
      <c r="A2" t="s">
        <v>33</v>
      </c>
      <c r="B2" t="s">
        <v>19</v>
      </c>
      <c r="C2" t="s">
        <v>34</v>
      </c>
      <c r="D2">
        <v>1</v>
      </c>
    </row>
    <row r="3" spans="1:4">
      <c r="A3" t="s">
        <v>35</v>
      </c>
      <c r="B3" t="s">
        <v>9</v>
      </c>
      <c r="C3" t="s">
        <v>34</v>
      </c>
      <c r="D3">
        <v>1</v>
      </c>
    </row>
    <row r="4" spans="1:4">
      <c r="A4" t="s">
        <v>36</v>
      </c>
      <c r="B4" t="s">
        <v>19</v>
      </c>
      <c r="C4" t="s">
        <v>34</v>
      </c>
      <c r="D4">
        <v>1</v>
      </c>
    </row>
    <row r="5" spans="1:4">
      <c r="A5" s="4" t="s">
        <v>37</v>
      </c>
      <c r="B5" s="4" t="s">
        <v>9</v>
      </c>
      <c r="C5" s="4" t="s">
        <v>34</v>
      </c>
      <c r="D5">
        <v>1</v>
      </c>
    </row>
    <row r="6" spans="1:4">
      <c r="A6" s="4" t="s">
        <v>38</v>
      </c>
      <c r="B6" s="4" t="s">
        <v>9</v>
      </c>
      <c r="C6" s="4" t="s">
        <v>34</v>
      </c>
      <c r="D6">
        <v>1</v>
      </c>
    </row>
    <row r="7" spans="1:4">
      <c r="A7" s="4" t="s">
        <v>39</v>
      </c>
      <c r="B7" s="4" t="s">
        <v>9</v>
      </c>
      <c r="C7" s="4" t="s">
        <v>34</v>
      </c>
      <c r="D7">
        <v>1</v>
      </c>
    </row>
    <row r="8" spans="1:4">
      <c r="A8" s="4" t="s">
        <v>40</v>
      </c>
      <c r="B8" s="4" t="s">
        <v>6</v>
      </c>
      <c r="C8" s="4" t="s">
        <v>34</v>
      </c>
      <c r="D8">
        <v>1</v>
      </c>
    </row>
    <row r="9" spans="1:4">
      <c r="A9" s="4" t="s">
        <v>41</v>
      </c>
      <c r="B9" s="4" t="s">
        <v>9</v>
      </c>
      <c r="C9" s="4" t="s">
        <v>34</v>
      </c>
      <c r="D9">
        <v>1</v>
      </c>
    </row>
    <row r="10" spans="1:4">
      <c r="A10" s="4" t="s">
        <v>42</v>
      </c>
      <c r="B10" s="4" t="s">
        <v>9</v>
      </c>
      <c r="C10" s="4" t="s">
        <v>34</v>
      </c>
      <c r="D10">
        <v>1</v>
      </c>
    </row>
    <row r="11" spans="1:4">
      <c r="A11" s="4" t="s">
        <v>43</v>
      </c>
      <c r="B11" s="4" t="s">
        <v>44</v>
      </c>
      <c r="C11" s="4" t="s">
        <v>34</v>
      </c>
      <c r="D11">
        <v>1</v>
      </c>
    </row>
    <row r="12" spans="1:4">
      <c r="A12" s="4" t="s">
        <v>45</v>
      </c>
      <c r="B12" s="4" t="s">
        <v>12</v>
      </c>
      <c r="C12" s="4" t="s">
        <v>34</v>
      </c>
      <c r="D12">
        <v>1</v>
      </c>
    </row>
    <row r="13" spans="1:4">
      <c r="A13" s="4" t="s">
        <v>46</v>
      </c>
      <c r="B13" s="4" t="s">
        <v>9</v>
      </c>
      <c r="C13" s="4" t="s">
        <v>34</v>
      </c>
      <c r="D13">
        <v>1</v>
      </c>
    </row>
    <row r="14" spans="1:4">
      <c r="A14" s="4" t="s">
        <v>47</v>
      </c>
      <c r="B14" s="4" t="s">
        <v>9</v>
      </c>
      <c r="C14" s="4" t="s">
        <v>34</v>
      </c>
      <c r="D14">
        <v>1</v>
      </c>
    </row>
    <row r="15" spans="1:4">
      <c r="A15" s="4" t="s">
        <v>48</v>
      </c>
      <c r="B15" s="4" t="s">
        <v>19</v>
      </c>
      <c r="C15" s="4" t="s">
        <v>34</v>
      </c>
      <c r="D15">
        <v>1</v>
      </c>
    </row>
    <row r="16" spans="1:4">
      <c r="A16" s="4" t="s">
        <v>49</v>
      </c>
      <c r="B16" s="4" t="s">
        <v>9</v>
      </c>
      <c r="C16" s="4" t="s">
        <v>34</v>
      </c>
      <c r="D16">
        <v>1</v>
      </c>
    </row>
    <row r="17" spans="1:4">
      <c r="A17" s="4" t="s">
        <v>50</v>
      </c>
      <c r="B17" s="4" t="s">
        <v>9</v>
      </c>
      <c r="C17" s="4" t="s">
        <v>34</v>
      </c>
      <c r="D17">
        <v>1</v>
      </c>
    </row>
    <row r="18" spans="1:4">
      <c r="A18" s="4" t="s">
        <v>51</v>
      </c>
      <c r="B18" s="4" t="s">
        <v>12</v>
      </c>
      <c r="C18" s="4" t="s">
        <v>34</v>
      </c>
      <c r="D18">
        <v>1</v>
      </c>
    </row>
    <row r="19" spans="1:4">
      <c r="A19" s="4" t="s">
        <v>52</v>
      </c>
      <c r="B19" s="4" t="s">
        <v>19</v>
      </c>
      <c r="C19" s="4" t="s">
        <v>34</v>
      </c>
      <c r="D19">
        <v>1</v>
      </c>
    </row>
    <row r="20" spans="1:4">
      <c r="A20" s="4" t="s">
        <v>53</v>
      </c>
      <c r="B20" s="4" t="s">
        <v>9</v>
      </c>
      <c r="C20" s="4" t="s">
        <v>34</v>
      </c>
      <c r="D20">
        <v>1</v>
      </c>
    </row>
    <row r="21" spans="1:4">
      <c r="A21" s="4" t="s">
        <v>54</v>
      </c>
      <c r="B21" s="4" t="s">
        <v>12</v>
      </c>
      <c r="C21" s="4" t="s">
        <v>34</v>
      </c>
      <c r="D21">
        <v>1</v>
      </c>
    </row>
    <row r="22" spans="1:4">
      <c r="A22" s="4" t="s">
        <v>55</v>
      </c>
      <c r="B22" s="4" t="s">
        <v>9</v>
      </c>
      <c r="C22" s="4" t="s">
        <v>34</v>
      </c>
      <c r="D22">
        <v>1</v>
      </c>
    </row>
    <row r="23" spans="1:4">
      <c r="A23" s="4" t="s">
        <v>56</v>
      </c>
      <c r="B23" s="4" t="s">
        <v>9</v>
      </c>
      <c r="C23" s="4" t="s">
        <v>34</v>
      </c>
      <c r="D23">
        <v>1</v>
      </c>
    </row>
    <row r="24" spans="1:4">
      <c r="A24" s="4" t="s">
        <v>57</v>
      </c>
      <c r="B24" s="4" t="s">
        <v>19</v>
      </c>
      <c r="C24" s="4" t="s">
        <v>34</v>
      </c>
      <c r="D24">
        <v>1</v>
      </c>
    </row>
    <row r="25" spans="1:4">
      <c r="A25" s="4" t="s">
        <v>58</v>
      </c>
      <c r="B25" s="4" t="s">
        <v>12</v>
      </c>
      <c r="C25" s="4" t="s">
        <v>34</v>
      </c>
      <c r="D25">
        <v>1</v>
      </c>
    </row>
    <row r="26" spans="1:4">
      <c r="A26" s="4" t="s">
        <v>59</v>
      </c>
      <c r="B26" s="4" t="s">
        <v>9</v>
      </c>
      <c r="C26" s="4" t="s">
        <v>34</v>
      </c>
      <c r="D26">
        <v>1</v>
      </c>
    </row>
    <row r="27" spans="1:4">
      <c r="A27" t="s">
        <v>60</v>
      </c>
      <c r="B27" t="s">
        <v>12</v>
      </c>
      <c r="C27" t="s">
        <v>61</v>
      </c>
      <c r="D27">
        <v>1</v>
      </c>
    </row>
    <row r="28" spans="1:4">
      <c r="A28" t="s">
        <v>62</v>
      </c>
      <c r="B28" t="s">
        <v>44</v>
      </c>
      <c r="C28" t="s">
        <v>61</v>
      </c>
      <c r="D28">
        <v>1</v>
      </c>
    </row>
    <row r="29" spans="1:4">
      <c r="A29" t="s">
        <v>63</v>
      </c>
      <c r="B29" t="s">
        <v>9</v>
      </c>
      <c r="C29" t="s">
        <v>61</v>
      </c>
      <c r="D29">
        <v>1</v>
      </c>
    </row>
    <row r="30" spans="1:4">
      <c r="A30" s="4" t="s">
        <v>64</v>
      </c>
      <c r="B30" s="4" t="s">
        <v>19</v>
      </c>
      <c r="C30" s="4" t="s">
        <v>61</v>
      </c>
      <c r="D30">
        <v>1</v>
      </c>
    </row>
    <row r="31" spans="1:4">
      <c r="A31" s="4" t="s">
        <v>65</v>
      </c>
      <c r="B31" s="4" t="s">
        <v>9</v>
      </c>
      <c r="C31" s="4" t="s">
        <v>61</v>
      </c>
      <c r="D31">
        <v>1</v>
      </c>
    </row>
    <row r="32" spans="1:4">
      <c r="A32" s="4" t="s">
        <v>66</v>
      </c>
      <c r="B32" s="4" t="s">
        <v>12</v>
      </c>
      <c r="C32" s="4" t="s">
        <v>61</v>
      </c>
      <c r="D32">
        <v>1</v>
      </c>
    </row>
    <row r="33" spans="1:4">
      <c r="A33" s="4" t="s">
        <v>67</v>
      </c>
      <c r="B33" s="4" t="s">
        <v>12</v>
      </c>
      <c r="C33" s="4" t="s">
        <v>61</v>
      </c>
      <c r="D33">
        <v>1</v>
      </c>
    </row>
    <row r="34" spans="1:4">
      <c r="A34" s="4"/>
      <c r="B34" s="4"/>
      <c r="C34" s="4"/>
    </row>
    <row r="35" spans="1:4">
      <c r="A35" s="21" t="s">
        <v>31</v>
      </c>
      <c r="B35" s="21"/>
      <c r="C35" s="21"/>
      <c r="D35" s="17">
        <f>SUM(D2:D33)</f>
        <v>32</v>
      </c>
    </row>
  </sheetData>
  <mergeCells count="1">
    <mergeCell ref="A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81BB-22DC-4D1B-97C8-12497FCE78D8}">
  <sheetPr>
    <tabColor theme="7" tint="0.39997558519241921"/>
  </sheetPr>
  <dimension ref="A1:F26"/>
  <sheetViews>
    <sheetView workbookViewId="0">
      <selection activeCell="A26" sqref="A26:F26"/>
    </sheetView>
  </sheetViews>
  <sheetFormatPr defaultRowHeight="15"/>
  <cols>
    <col min="1" max="1" width="22.85546875" customWidth="1"/>
  </cols>
  <sheetData>
    <row r="1" spans="1:6" ht="15.75">
      <c r="A1" s="5" t="s">
        <v>0</v>
      </c>
      <c r="B1" s="5" t="s">
        <v>32</v>
      </c>
      <c r="C1" s="5" t="s">
        <v>68</v>
      </c>
      <c r="D1" s="5" t="s">
        <v>69</v>
      </c>
    </row>
    <row r="2" spans="1:6" ht="15.75">
      <c r="A2" s="5" t="s">
        <v>70</v>
      </c>
      <c r="B2" s="5" t="s">
        <v>9</v>
      </c>
      <c r="C2" s="5" t="s">
        <v>71</v>
      </c>
      <c r="D2" s="5" t="s">
        <v>72</v>
      </c>
      <c r="F2">
        <v>1</v>
      </c>
    </row>
    <row r="3" spans="1:6" ht="15.75">
      <c r="A3" s="6" t="s">
        <v>73</v>
      </c>
      <c r="B3" s="5" t="s">
        <v>9</v>
      </c>
      <c r="C3" s="5" t="s">
        <v>71</v>
      </c>
      <c r="D3" s="5" t="s">
        <v>72</v>
      </c>
      <c r="F3">
        <v>1</v>
      </c>
    </row>
    <row r="4" spans="1:6" ht="15.75">
      <c r="A4" s="5" t="s">
        <v>74</v>
      </c>
      <c r="B4" s="5" t="s">
        <v>9</v>
      </c>
      <c r="C4" s="5" t="s">
        <v>71</v>
      </c>
      <c r="D4" s="5" t="s">
        <v>72</v>
      </c>
      <c r="F4">
        <v>1</v>
      </c>
    </row>
    <row r="5" spans="1:6" ht="15.75">
      <c r="A5" s="5" t="s">
        <v>75</v>
      </c>
      <c r="B5" s="5" t="s">
        <v>19</v>
      </c>
      <c r="C5" s="5" t="s">
        <v>71</v>
      </c>
      <c r="D5" s="5" t="s">
        <v>76</v>
      </c>
      <c r="F5">
        <v>1</v>
      </c>
    </row>
    <row r="6" spans="1:6" ht="15.75">
      <c r="A6" s="5" t="s">
        <v>77</v>
      </c>
      <c r="B6" s="5" t="s">
        <v>19</v>
      </c>
      <c r="C6" s="5" t="s">
        <v>71</v>
      </c>
      <c r="D6" s="5" t="s">
        <v>72</v>
      </c>
      <c r="F6">
        <v>1</v>
      </c>
    </row>
    <row r="7" spans="1:6" ht="15.75">
      <c r="A7" s="6" t="s">
        <v>78</v>
      </c>
      <c r="B7" s="5" t="s">
        <v>9</v>
      </c>
      <c r="C7" s="5" t="s">
        <v>71</v>
      </c>
      <c r="D7" s="5" t="s">
        <v>72</v>
      </c>
      <c r="F7">
        <v>1</v>
      </c>
    </row>
    <row r="8" spans="1:6" ht="15.75">
      <c r="A8" s="5" t="s">
        <v>79</v>
      </c>
      <c r="B8" s="5" t="s">
        <v>9</v>
      </c>
      <c r="C8" s="5" t="s">
        <v>71</v>
      </c>
      <c r="D8" s="5" t="s">
        <v>72</v>
      </c>
      <c r="F8">
        <v>1</v>
      </c>
    </row>
    <row r="9" spans="1:6" ht="15.75">
      <c r="A9" s="8" t="s">
        <v>80</v>
      </c>
      <c r="B9" s="5" t="s">
        <v>19</v>
      </c>
      <c r="C9" s="5" t="s">
        <v>81</v>
      </c>
      <c r="D9" s="5" t="s">
        <v>72</v>
      </c>
      <c r="F9">
        <v>1</v>
      </c>
    </row>
    <row r="10" spans="1:6" ht="15.75">
      <c r="A10" s="6" t="s">
        <v>82</v>
      </c>
      <c r="B10" s="5" t="s">
        <v>19</v>
      </c>
      <c r="C10" s="5" t="s">
        <v>81</v>
      </c>
      <c r="D10" s="5" t="s">
        <v>83</v>
      </c>
      <c r="F10">
        <v>1</v>
      </c>
    </row>
    <row r="11" spans="1:6" ht="15.75">
      <c r="A11" s="5" t="s">
        <v>84</v>
      </c>
      <c r="B11" s="5" t="s">
        <v>6</v>
      </c>
      <c r="C11" s="5" t="s">
        <v>81</v>
      </c>
      <c r="D11" s="5" t="s">
        <v>83</v>
      </c>
      <c r="F11">
        <v>1</v>
      </c>
    </row>
    <row r="12" spans="1:6" ht="15.75">
      <c r="A12" s="5" t="s">
        <v>85</v>
      </c>
      <c r="B12" s="5" t="s">
        <v>9</v>
      </c>
      <c r="C12" s="5" t="s">
        <v>81</v>
      </c>
      <c r="D12" s="5" t="s">
        <v>72</v>
      </c>
      <c r="F12">
        <v>1</v>
      </c>
    </row>
    <row r="13" spans="1:6" ht="15.75">
      <c r="A13" s="5" t="s">
        <v>86</v>
      </c>
      <c r="B13" s="5" t="s">
        <v>6</v>
      </c>
      <c r="C13" s="5" t="s">
        <v>81</v>
      </c>
      <c r="D13" s="5" t="s">
        <v>72</v>
      </c>
      <c r="F13">
        <v>1</v>
      </c>
    </row>
    <row r="14" spans="1:6" ht="15.75">
      <c r="A14" s="7" t="s">
        <v>87</v>
      </c>
      <c r="B14" s="5" t="s">
        <v>9</v>
      </c>
      <c r="C14" s="5" t="s">
        <v>81</v>
      </c>
      <c r="D14" s="5" t="s">
        <v>72</v>
      </c>
      <c r="F14">
        <v>1</v>
      </c>
    </row>
    <row r="15" spans="1:6" ht="15.75">
      <c r="A15" s="5" t="s">
        <v>88</v>
      </c>
      <c r="B15" s="5" t="s">
        <v>6</v>
      </c>
      <c r="C15" s="5" t="s">
        <v>81</v>
      </c>
      <c r="D15" s="5" t="s">
        <v>72</v>
      </c>
      <c r="F15">
        <v>1</v>
      </c>
    </row>
    <row r="16" spans="1:6" ht="15.75">
      <c r="A16" s="6" t="s">
        <v>89</v>
      </c>
      <c r="B16" s="5" t="s">
        <v>9</v>
      </c>
      <c r="C16" s="5" t="s">
        <v>81</v>
      </c>
      <c r="D16" s="5" t="s">
        <v>72</v>
      </c>
      <c r="F16">
        <v>1</v>
      </c>
    </row>
    <row r="17" spans="1:6" ht="15.75">
      <c r="A17" s="5" t="s">
        <v>90</v>
      </c>
      <c r="B17" s="5" t="s">
        <v>6</v>
      </c>
      <c r="C17" s="5" t="s">
        <v>81</v>
      </c>
      <c r="D17" s="5" t="s">
        <v>83</v>
      </c>
      <c r="F17">
        <v>1</v>
      </c>
    </row>
    <row r="18" spans="1:6" ht="15.75">
      <c r="A18" s="5" t="s">
        <v>37</v>
      </c>
      <c r="B18" s="5" t="s">
        <v>19</v>
      </c>
      <c r="C18" s="5" t="s">
        <v>81</v>
      </c>
      <c r="D18" s="5" t="s">
        <v>72</v>
      </c>
      <c r="F18">
        <v>1</v>
      </c>
    </row>
    <row r="19" spans="1:6" ht="15.75">
      <c r="A19" s="5" t="s">
        <v>91</v>
      </c>
      <c r="B19" s="5" t="s">
        <v>92</v>
      </c>
      <c r="C19" s="5" t="s">
        <v>81</v>
      </c>
      <c r="D19" s="5" t="s">
        <v>72</v>
      </c>
      <c r="F19" s="5" t="s">
        <v>93</v>
      </c>
    </row>
    <row r="20" spans="1:6" ht="15.75">
      <c r="A20" s="5" t="s">
        <v>94</v>
      </c>
      <c r="B20" s="5" t="s">
        <v>9</v>
      </c>
      <c r="C20" s="5" t="s">
        <v>81</v>
      </c>
      <c r="D20" s="5" t="s">
        <v>72</v>
      </c>
      <c r="F20" s="5" t="s">
        <v>93</v>
      </c>
    </row>
    <row r="21" spans="1:6" ht="15.75">
      <c r="A21" s="5" t="s">
        <v>95</v>
      </c>
      <c r="B21" s="5" t="s">
        <v>9</v>
      </c>
      <c r="C21" s="5" t="s">
        <v>81</v>
      </c>
      <c r="D21" s="5" t="s">
        <v>72</v>
      </c>
      <c r="F21" s="5" t="s">
        <v>93</v>
      </c>
    </row>
    <row r="22" spans="1:6" ht="15.75">
      <c r="A22" s="5" t="s">
        <v>96</v>
      </c>
      <c r="B22" s="5" t="s">
        <v>19</v>
      </c>
      <c r="C22" s="5" t="s">
        <v>81</v>
      </c>
      <c r="D22" s="5" t="s">
        <v>72</v>
      </c>
      <c r="F22">
        <v>1</v>
      </c>
    </row>
    <row r="23" spans="1:6" ht="15.75">
      <c r="A23" s="5" t="s">
        <v>10</v>
      </c>
      <c r="B23" s="5" t="s">
        <v>12</v>
      </c>
      <c r="C23" s="5" t="s">
        <v>81</v>
      </c>
      <c r="D23" s="5" t="s">
        <v>72</v>
      </c>
      <c r="F23">
        <v>1</v>
      </c>
    </row>
    <row r="24" spans="1:6" ht="15.75">
      <c r="A24" s="5" t="s">
        <v>97</v>
      </c>
      <c r="B24" s="5" t="s">
        <v>12</v>
      </c>
      <c r="C24" s="5" t="s">
        <v>81</v>
      </c>
      <c r="D24" s="5" t="s">
        <v>83</v>
      </c>
      <c r="F24">
        <v>1</v>
      </c>
    </row>
    <row r="25" spans="1:6" ht="15.75">
      <c r="A25" s="5"/>
      <c r="B25" s="5"/>
      <c r="C25" s="5"/>
      <c r="D25" s="5"/>
    </row>
    <row r="26" spans="1:6" ht="15.75">
      <c r="A26" s="22" t="s">
        <v>31</v>
      </c>
      <c r="B26" s="22"/>
      <c r="C26" s="22"/>
      <c r="D26" s="22"/>
      <c r="E26" s="18"/>
      <c r="F26" s="18">
        <f>SUM(F2:F18,F22:F24)</f>
        <v>20</v>
      </c>
    </row>
  </sheetData>
  <mergeCells count="1">
    <mergeCell ref="A26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55F2-344E-41B1-814C-D2BF49D26D42}">
  <sheetPr>
    <tabColor theme="7" tint="0.39997558519241921"/>
  </sheetPr>
  <dimension ref="A1:E6"/>
  <sheetViews>
    <sheetView workbookViewId="0">
      <selection activeCell="J27" sqref="J27"/>
    </sheetView>
  </sheetViews>
  <sheetFormatPr defaultRowHeight="15"/>
  <cols>
    <col min="1" max="1" width="17" customWidth="1"/>
    <col min="3" max="3" width="9.28515625" customWidth="1"/>
    <col min="4" max="4" width="11.42578125" customWidth="1"/>
  </cols>
  <sheetData>
    <row r="1" spans="1:5">
      <c r="A1" s="15"/>
      <c r="B1" s="15" t="s">
        <v>32</v>
      </c>
      <c r="C1" s="15" t="s">
        <v>68</v>
      </c>
      <c r="D1" s="15" t="s">
        <v>69</v>
      </c>
    </row>
    <row r="2" spans="1:5" ht="21" customHeight="1">
      <c r="A2" s="16" t="s">
        <v>91</v>
      </c>
      <c r="B2" s="16" t="s">
        <v>92</v>
      </c>
      <c r="C2" s="16" t="s">
        <v>81</v>
      </c>
      <c r="D2" s="16" t="s">
        <v>72</v>
      </c>
      <c r="E2" s="16">
        <v>1</v>
      </c>
    </row>
    <row r="3" spans="1:5" ht="15.75" customHeight="1">
      <c r="A3" s="16" t="s">
        <v>94</v>
      </c>
      <c r="B3" s="16" t="s">
        <v>9</v>
      </c>
      <c r="C3" s="16" t="s">
        <v>81</v>
      </c>
      <c r="D3" s="16" t="s">
        <v>72</v>
      </c>
      <c r="E3" s="16">
        <v>1</v>
      </c>
    </row>
    <row r="4" spans="1:5" ht="15.75" customHeight="1">
      <c r="A4" s="16" t="s">
        <v>95</v>
      </c>
      <c r="B4" s="16" t="s">
        <v>9</v>
      </c>
      <c r="C4" s="16" t="s">
        <v>81</v>
      </c>
      <c r="D4" s="16" t="s">
        <v>72</v>
      </c>
      <c r="E4" s="16">
        <v>1</v>
      </c>
    </row>
    <row r="5" spans="1:5">
      <c r="A5" s="23"/>
      <c r="B5" s="23"/>
      <c r="C5" s="23"/>
    </row>
    <row r="6" spans="1:5">
      <c r="A6" s="24" t="s">
        <v>31</v>
      </c>
      <c r="B6" s="24"/>
      <c r="C6" s="24"/>
      <c r="D6" s="24"/>
      <c r="E6" s="18">
        <f>SUM(E2:E4)</f>
        <v>3</v>
      </c>
    </row>
  </sheetData>
  <mergeCells count="2">
    <mergeCell ref="A5:C5"/>
    <mergeCell ref="A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8DAD-18F4-4BCC-9299-75AD6EB51C10}">
  <sheetPr>
    <tabColor rgb="FF92D050"/>
  </sheetPr>
  <dimension ref="A1:Z37"/>
  <sheetViews>
    <sheetView zoomScale="96" zoomScaleNormal="96" workbookViewId="0">
      <selection activeCell="AB17" sqref="AB17"/>
    </sheetView>
  </sheetViews>
  <sheetFormatPr defaultRowHeight="15"/>
  <cols>
    <col min="1" max="1" width="6.85546875" style="2" customWidth="1"/>
    <col min="2" max="2" width="8.85546875" style="2" customWidth="1"/>
    <col min="3" max="3" width="7.85546875" style="2" customWidth="1"/>
    <col min="4" max="4" width="12.140625" style="2" customWidth="1"/>
    <col min="5" max="5" width="16.42578125" style="2" customWidth="1"/>
    <col min="6" max="6" width="8" style="2" customWidth="1"/>
    <col min="7" max="7" width="5.28515625" style="2" customWidth="1"/>
    <col min="8" max="8" width="8.85546875" style="2"/>
    <col min="9" max="10" width="9.140625" style="3"/>
    <col min="11" max="11" width="10.5703125" style="3" customWidth="1"/>
    <col min="12" max="12" width="14.7109375" style="3" customWidth="1"/>
    <col min="13" max="13" width="9.140625" style="3"/>
    <col min="14" max="14" width="5" style="3" customWidth="1"/>
    <col min="15" max="16" width="9.140625" style="3"/>
    <col min="17" max="17" width="12.85546875" style="3" customWidth="1"/>
    <col min="18" max="18" width="13.42578125" style="3" customWidth="1"/>
    <col min="19" max="19" width="14.5703125" style="3" customWidth="1"/>
    <col min="20" max="20" width="4.85546875" style="3" customWidth="1"/>
    <col min="21" max="21" width="9.140625" style="3"/>
    <col min="22" max="22" width="9.85546875" style="3" customWidth="1"/>
    <col min="23" max="23" width="10.7109375" style="3" customWidth="1"/>
    <col min="24" max="24" width="13.7109375" style="3" customWidth="1"/>
    <col min="25" max="25" width="17.140625" style="3" customWidth="1"/>
    <col min="26" max="26" width="5.28515625" customWidth="1"/>
  </cols>
  <sheetData>
    <row r="1" spans="1:26" s="14" customFormat="1" ht="16.149999999999999" customHeight="1">
      <c r="A1" s="28" t="s">
        <v>98</v>
      </c>
      <c r="B1" s="28"/>
      <c r="C1" s="28"/>
      <c r="D1" s="28"/>
      <c r="E1" s="28"/>
      <c r="F1" s="28"/>
      <c r="G1" s="12"/>
      <c r="H1" s="29" t="s">
        <v>99</v>
      </c>
      <c r="I1" s="29"/>
      <c r="J1" s="29"/>
      <c r="K1" s="29"/>
      <c r="L1" s="29"/>
      <c r="M1" s="29"/>
      <c r="N1" s="13"/>
      <c r="O1" s="30" t="s">
        <v>100</v>
      </c>
      <c r="P1" s="30"/>
      <c r="Q1" s="30"/>
      <c r="R1" s="30"/>
      <c r="S1" s="30"/>
      <c r="T1" s="13"/>
      <c r="U1" s="31" t="s">
        <v>101</v>
      </c>
      <c r="V1" s="31"/>
      <c r="W1" s="31"/>
      <c r="X1" s="31"/>
      <c r="Y1" s="31"/>
      <c r="Z1" s="13"/>
    </row>
    <row r="2" spans="1:26">
      <c r="A2" s="1"/>
      <c r="G2" s="10"/>
      <c r="N2" s="11"/>
      <c r="O2" s="2"/>
      <c r="T2" s="11"/>
      <c r="Z2" s="11"/>
    </row>
    <row r="3" spans="1:26" ht="30">
      <c r="B3" s="1" t="s">
        <v>102</v>
      </c>
      <c r="C3" s="1" t="s">
        <v>103</v>
      </c>
      <c r="G3" s="10"/>
      <c r="I3" s="1" t="s">
        <v>102</v>
      </c>
      <c r="J3" s="1" t="s">
        <v>103</v>
      </c>
      <c r="N3" s="11"/>
      <c r="O3" s="2"/>
      <c r="P3" s="1" t="s">
        <v>102</v>
      </c>
      <c r="T3" s="11"/>
      <c r="U3" s="2"/>
      <c r="V3" s="1" t="s">
        <v>103</v>
      </c>
      <c r="Z3" s="11"/>
    </row>
    <row r="4" spans="1:26" ht="27.75" customHeight="1">
      <c r="A4" s="2" t="s">
        <v>32</v>
      </c>
      <c r="B4" s="2" t="s">
        <v>104</v>
      </c>
      <c r="C4" s="2" t="s">
        <v>24</v>
      </c>
      <c r="D4" s="2" t="s">
        <v>105</v>
      </c>
      <c r="E4" s="2" t="s">
        <v>106</v>
      </c>
      <c r="F4" s="2" t="s">
        <v>69</v>
      </c>
      <c r="G4" s="10"/>
      <c r="H4" s="2" t="s">
        <v>32</v>
      </c>
      <c r="I4" s="2" t="s">
        <v>104</v>
      </c>
      <c r="J4" s="2" t="s">
        <v>24</v>
      </c>
      <c r="K4" s="2" t="s">
        <v>105</v>
      </c>
      <c r="L4" s="2" t="s">
        <v>106</v>
      </c>
      <c r="M4" s="2" t="s">
        <v>69</v>
      </c>
      <c r="N4" s="11"/>
      <c r="O4" s="2" t="s">
        <v>32</v>
      </c>
      <c r="P4" s="2" t="s">
        <v>104</v>
      </c>
      <c r="Q4" s="2" t="s">
        <v>105</v>
      </c>
      <c r="R4" s="2" t="s">
        <v>107</v>
      </c>
      <c r="S4" s="2" t="s">
        <v>69</v>
      </c>
      <c r="T4" s="11"/>
      <c r="U4" s="2" t="s">
        <v>32</v>
      </c>
      <c r="V4" s="2" t="s">
        <v>24</v>
      </c>
      <c r="W4" s="2" t="s">
        <v>105</v>
      </c>
      <c r="X4" s="2" t="s">
        <v>108</v>
      </c>
      <c r="Y4" s="2" t="s">
        <v>69</v>
      </c>
      <c r="Z4" s="11"/>
    </row>
    <row r="5" spans="1:26" ht="15" customHeight="1">
      <c r="A5" s="2" t="s">
        <v>44</v>
      </c>
      <c r="B5" s="1" t="s">
        <v>109</v>
      </c>
      <c r="C5" s="1" t="s">
        <v>109</v>
      </c>
      <c r="D5" s="1" t="s">
        <v>109</v>
      </c>
      <c r="E5" s="1" t="s">
        <v>109</v>
      </c>
      <c r="F5" s="1" t="s">
        <v>109</v>
      </c>
      <c r="G5" s="10"/>
      <c r="H5" s="2" t="s">
        <v>44</v>
      </c>
      <c r="I5" s="2">
        <v>1</v>
      </c>
      <c r="J5" s="2">
        <v>1</v>
      </c>
      <c r="K5" s="2" t="s">
        <v>110</v>
      </c>
      <c r="L5" s="2" t="s">
        <v>111</v>
      </c>
      <c r="M5" s="2" t="s">
        <v>112</v>
      </c>
      <c r="N5" s="11"/>
      <c r="O5" s="2" t="s">
        <v>44</v>
      </c>
      <c r="P5" s="2" t="s">
        <v>109</v>
      </c>
      <c r="Q5" s="2" t="s">
        <v>113</v>
      </c>
      <c r="R5" s="2" t="s">
        <v>109</v>
      </c>
      <c r="S5" s="2" t="s">
        <v>72</v>
      </c>
      <c r="T5" s="11"/>
      <c r="U5" s="2" t="s">
        <v>44</v>
      </c>
      <c r="V5" s="2" t="s">
        <v>109</v>
      </c>
      <c r="W5" s="2" t="s">
        <v>110</v>
      </c>
      <c r="X5" s="2" t="s">
        <v>109</v>
      </c>
      <c r="Y5" s="2" t="s">
        <v>72</v>
      </c>
      <c r="Z5" s="11"/>
    </row>
    <row r="6" spans="1:26" ht="17.25" customHeight="1">
      <c r="A6" s="2" t="s">
        <v>12</v>
      </c>
      <c r="B6" s="2">
        <v>2</v>
      </c>
      <c r="C6" s="2">
        <v>2</v>
      </c>
      <c r="D6" s="2" t="s">
        <v>110</v>
      </c>
      <c r="E6" s="2" t="s">
        <v>114</v>
      </c>
      <c r="F6" s="2" t="s">
        <v>115</v>
      </c>
      <c r="G6" s="10"/>
      <c r="H6" s="2" t="s">
        <v>12</v>
      </c>
      <c r="I6" s="2">
        <v>4</v>
      </c>
      <c r="J6" s="2">
        <v>3</v>
      </c>
      <c r="K6" s="2" t="s">
        <v>110</v>
      </c>
      <c r="L6" s="2" t="s">
        <v>111</v>
      </c>
      <c r="M6" s="2" t="s">
        <v>112</v>
      </c>
      <c r="N6" s="11"/>
      <c r="O6" s="2" t="s">
        <v>12</v>
      </c>
      <c r="P6" s="2">
        <v>1</v>
      </c>
      <c r="Q6" s="2" t="s">
        <v>113</v>
      </c>
      <c r="R6" s="2" t="s">
        <v>109</v>
      </c>
      <c r="S6" s="2" t="s">
        <v>72</v>
      </c>
      <c r="T6" s="11"/>
      <c r="U6" s="2" t="s">
        <v>12</v>
      </c>
      <c r="V6" s="2" t="s">
        <v>109</v>
      </c>
      <c r="W6" s="2" t="s">
        <v>110</v>
      </c>
      <c r="X6" s="2" t="s">
        <v>109</v>
      </c>
      <c r="Y6" s="2"/>
      <c r="Z6" s="11"/>
    </row>
    <row r="7" spans="1:26" ht="15" customHeight="1">
      <c r="A7" s="2" t="s">
        <v>9</v>
      </c>
      <c r="B7" s="2">
        <v>4</v>
      </c>
      <c r="C7" s="2">
        <v>4</v>
      </c>
      <c r="D7" s="2" t="s">
        <v>110</v>
      </c>
      <c r="E7" s="2" t="s">
        <v>114</v>
      </c>
      <c r="F7" s="2" t="s">
        <v>115</v>
      </c>
      <c r="G7" s="10"/>
      <c r="H7" s="2" t="s">
        <v>9</v>
      </c>
      <c r="I7" s="2">
        <v>14</v>
      </c>
      <c r="J7" s="2">
        <v>2</v>
      </c>
      <c r="K7" s="2" t="s">
        <v>110</v>
      </c>
      <c r="L7" s="2" t="s">
        <v>111</v>
      </c>
      <c r="M7" s="2" t="s">
        <v>112</v>
      </c>
      <c r="N7" s="11"/>
      <c r="O7" s="2" t="s">
        <v>9</v>
      </c>
      <c r="P7" s="2">
        <v>3</v>
      </c>
      <c r="Q7" s="2" t="s">
        <v>113</v>
      </c>
      <c r="R7" s="2" t="s">
        <v>109</v>
      </c>
      <c r="S7" s="2" t="s">
        <v>72</v>
      </c>
      <c r="T7" s="11"/>
      <c r="U7" s="2" t="s">
        <v>9</v>
      </c>
      <c r="V7" s="2">
        <v>2</v>
      </c>
      <c r="W7" s="2" t="s">
        <v>110</v>
      </c>
      <c r="X7" s="2" t="s">
        <v>109</v>
      </c>
      <c r="Y7" s="2" t="s">
        <v>72</v>
      </c>
      <c r="Z7" s="11"/>
    </row>
    <row r="8" spans="1:26" ht="15.75" customHeight="1">
      <c r="A8" s="2" t="s">
        <v>19</v>
      </c>
      <c r="B8" s="2">
        <v>2</v>
      </c>
      <c r="C8" s="2" t="s">
        <v>109</v>
      </c>
      <c r="D8" s="2" t="s">
        <v>110</v>
      </c>
      <c r="E8" s="2" t="s">
        <v>114</v>
      </c>
      <c r="F8" s="2" t="s">
        <v>115</v>
      </c>
      <c r="G8" s="10"/>
      <c r="H8" s="2" t="s">
        <v>19</v>
      </c>
      <c r="I8" s="2">
        <v>5</v>
      </c>
      <c r="J8" s="2">
        <v>1</v>
      </c>
      <c r="K8" s="2" t="s">
        <v>110</v>
      </c>
      <c r="L8" s="2" t="s">
        <v>111</v>
      </c>
      <c r="M8" s="2" t="s">
        <v>112</v>
      </c>
      <c r="N8" s="11"/>
      <c r="O8" s="2" t="s">
        <v>19</v>
      </c>
      <c r="P8" s="2">
        <v>3</v>
      </c>
      <c r="Q8" s="2" t="s">
        <v>113</v>
      </c>
      <c r="R8" s="2" t="s">
        <v>109</v>
      </c>
      <c r="S8" s="2" t="s">
        <v>72</v>
      </c>
      <c r="T8" s="11"/>
      <c r="U8" s="2" t="s">
        <v>19</v>
      </c>
      <c r="V8" s="2" t="s">
        <v>109</v>
      </c>
      <c r="W8" s="2" t="s">
        <v>110</v>
      </c>
      <c r="X8" s="2" t="s">
        <v>109</v>
      </c>
      <c r="Y8" s="2"/>
      <c r="Z8" s="11"/>
    </row>
    <row r="9" spans="1:26" ht="17.25" customHeight="1">
      <c r="A9" s="2" t="s">
        <v>6</v>
      </c>
      <c r="B9" s="2">
        <v>5</v>
      </c>
      <c r="C9" s="2">
        <v>1</v>
      </c>
      <c r="D9" s="2" t="s">
        <v>110</v>
      </c>
      <c r="E9" s="2" t="s">
        <v>114</v>
      </c>
      <c r="F9" s="2" t="s">
        <v>115</v>
      </c>
      <c r="G9" s="10"/>
      <c r="H9" s="2" t="s">
        <v>6</v>
      </c>
      <c r="I9" s="2">
        <v>1</v>
      </c>
      <c r="J9" s="1" t="s">
        <v>109</v>
      </c>
      <c r="K9" s="2" t="s">
        <v>110</v>
      </c>
      <c r="L9" s="2" t="s">
        <v>111</v>
      </c>
      <c r="M9" s="2" t="s">
        <v>112</v>
      </c>
      <c r="N9" s="11"/>
      <c r="O9" s="2" t="s">
        <v>6</v>
      </c>
      <c r="P9" s="3">
        <v>2</v>
      </c>
      <c r="Q9" s="2" t="s">
        <v>113</v>
      </c>
      <c r="R9" s="2" t="s">
        <v>109</v>
      </c>
      <c r="S9" s="2" t="s">
        <v>72</v>
      </c>
      <c r="T9" s="11"/>
      <c r="U9" s="2" t="s">
        <v>6</v>
      </c>
      <c r="V9" s="2" t="s">
        <v>109</v>
      </c>
      <c r="W9" s="2" t="s">
        <v>110</v>
      </c>
      <c r="X9" s="2" t="s">
        <v>109</v>
      </c>
      <c r="Y9" s="2"/>
      <c r="Z9" s="11"/>
    </row>
    <row r="10" spans="1:26" ht="15.75" customHeight="1">
      <c r="A10" s="2" t="s">
        <v>25</v>
      </c>
      <c r="B10" s="1" t="s">
        <v>109</v>
      </c>
      <c r="C10" s="2">
        <v>2</v>
      </c>
      <c r="D10" s="2" t="s">
        <v>110</v>
      </c>
      <c r="E10" s="2" t="s">
        <v>114</v>
      </c>
      <c r="F10" s="2" t="s">
        <v>115</v>
      </c>
      <c r="G10" s="10"/>
      <c r="H10" s="2" t="s">
        <v>25</v>
      </c>
      <c r="I10" s="1" t="s">
        <v>109</v>
      </c>
      <c r="J10" s="1" t="s">
        <v>109</v>
      </c>
      <c r="K10" s="2" t="s">
        <v>110</v>
      </c>
      <c r="L10" s="2" t="s">
        <v>111</v>
      </c>
      <c r="M10" s="2" t="s">
        <v>112</v>
      </c>
      <c r="N10" s="11"/>
      <c r="O10" s="2" t="s">
        <v>25</v>
      </c>
      <c r="P10" s="3" t="s">
        <v>109</v>
      </c>
      <c r="Q10" s="2" t="s">
        <v>113</v>
      </c>
      <c r="R10" s="2" t="s">
        <v>109</v>
      </c>
      <c r="S10" s="2" t="s">
        <v>72</v>
      </c>
      <c r="T10" s="11"/>
      <c r="U10" s="19" t="s">
        <v>92</v>
      </c>
      <c r="V10" s="19">
        <v>1</v>
      </c>
      <c r="W10" s="19" t="s">
        <v>110</v>
      </c>
      <c r="X10" s="19" t="s">
        <v>109</v>
      </c>
      <c r="Y10" s="19" t="s">
        <v>72</v>
      </c>
      <c r="Z10" s="11"/>
    </row>
    <row r="11" spans="1:26" ht="15" customHeight="1">
      <c r="G11" s="10"/>
      <c r="N11" s="11"/>
      <c r="O11" s="2"/>
      <c r="S11" s="2"/>
      <c r="T11" s="11"/>
      <c r="Z11" s="11"/>
    </row>
    <row r="12" spans="1:26">
      <c r="G12" s="10"/>
      <c r="N12" s="11"/>
      <c r="O12" s="2" t="s">
        <v>44</v>
      </c>
      <c r="P12" s="2" t="s">
        <v>109</v>
      </c>
      <c r="Q12" s="2" t="s">
        <v>113</v>
      </c>
      <c r="R12" s="2" t="s">
        <v>109</v>
      </c>
      <c r="S12" s="2" t="s">
        <v>83</v>
      </c>
      <c r="T12" s="11"/>
      <c r="Z12" s="11"/>
    </row>
    <row r="13" spans="1:26">
      <c r="G13" s="10"/>
      <c r="N13" s="11"/>
      <c r="O13" s="2" t="s">
        <v>12</v>
      </c>
      <c r="P13" s="2">
        <v>1</v>
      </c>
      <c r="Q13" s="2" t="s">
        <v>113</v>
      </c>
      <c r="R13" s="2" t="s">
        <v>109</v>
      </c>
      <c r="S13" s="2" t="s">
        <v>83</v>
      </c>
      <c r="T13" s="11"/>
      <c r="Z13" s="11"/>
    </row>
    <row r="14" spans="1:26">
      <c r="G14" s="10"/>
      <c r="N14" s="11"/>
      <c r="O14" s="2" t="s">
        <v>9</v>
      </c>
      <c r="P14" s="2" t="s">
        <v>109</v>
      </c>
      <c r="Q14" s="2" t="s">
        <v>113</v>
      </c>
      <c r="R14" s="2" t="s">
        <v>109</v>
      </c>
      <c r="S14" s="2" t="s">
        <v>83</v>
      </c>
      <c r="T14" s="11"/>
      <c r="Z14" s="11"/>
    </row>
    <row r="15" spans="1:26">
      <c r="G15" s="10"/>
      <c r="N15" s="11"/>
      <c r="O15" s="2" t="s">
        <v>19</v>
      </c>
      <c r="P15" s="2">
        <v>1</v>
      </c>
      <c r="Q15" s="2" t="s">
        <v>113</v>
      </c>
      <c r="R15" s="2" t="s">
        <v>109</v>
      </c>
      <c r="S15" s="2" t="s">
        <v>83</v>
      </c>
      <c r="T15" s="11"/>
      <c r="Z15" s="11"/>
    </row>
    <row r="16" spans="1:26">
      <c r="G16" s="10"/>
      <c r="N16" s="11"/>
      <c r="O16" s="2" t="s">
        <v>6</v>
      </c>
      <c r="P16" s="3">
        <v>2</v>
      </c>
      <c r="Q16" s="2" t="s">
        <v>113</v>
      </c>
      <c r="R16" s="2" t="s">
        <v>109</v>
      </c>
      <c r="S16" s="2" t="s">
        <v>83</v>
      </c>
      <c r="T16" s="11"/>
      <c r="Z16" s="11"/>
    </row>
    <row r="17" spans="1:26">
      <c r="G17" s="10"/>
      <c r="N17" s="11"/>
      <c r="O17" s="2" t="s">
        <v>25</v>
      </c>
      <c r="P17" s="3" t="s">
        <v>109</v>
      </c>
      <c r="Q17" s="2" t="s">
        <v>113</v>
      </c>
      <c r="R17" s="2" t="s">
        <v>109</v>
      </c>
      <c r="S17" s="2" t="s">
        <v>83</v>
      </c>
      <c r="T17" s="11"/>
      <c r="Z17" s="11"/>
    </row>
    <row r="18" spans="1:26">
      <c r="G18" s="10"/>
      <c r="N18" s="11"/>
      <c r="T18" s="11"/>
      <c r="Z18" s="11"/>
    </row>
    <row r="19" spans="1:26" ht="16.5" customHeight="1">
      <c r="G19" s="10"/>
      <c r="N19" s="11"/>
      <c r="O19" s="2" t="s">
        <v>44</v>
      </c>
      <c r="P19" s="2" t="s">
        <v>109</v>
      </c>
      <c r="Q19" s="2" t="s">
        <v>116</v>
      </c>
      <c r="R19" s="2" t="s">
        <v>109</v>
      </c>
      <c r="S19" s="2" t="s">
        <v>72</v>
      </c>
      <c r="T19" s="11"/>
      <c r="Z19" s="11"/>
    </row>
    <row r="20" spans="1:26" ht="15.75" customHeight="1">
      <c r="G20" s="10"/>
      <c r="N20" s="11"/>
      <c r="O20" s="2" t="s">
        <v>12</v>
      </c>
      <c r="P20" s="2" t="s">
        <v>109</v>
      </c>
      <c r="Q20" s="2" t="s">
        <v>116</v>
      </c>
      <c r="R20" s="2" t="s">
        <v>109</v>
      </c>
      <c r="S20" s="2" t="s">
        <v>72</v>
      </c>
      <c r="T20" s="11"/>
      <c r="Z20" s="11"/>
    </row>
    <row r="21" spans="1:26" ht="12.75" customHeight="1">
      <c r="G21" s="10"/>
      <c r="N21" s="11"/>
      <c r="O21" s="2" t="s">
        <v>9</v>
      </c>
      <c r="P21" s="2">
        <v>5</v>
      </c>
      <c r="Q21" s="2" t="s">
        <v>116</v>
      </c>
      <c r="R21" s="2" t="s">
        <v>109</v>
      </c>
      <c r="S21" s="2" t="s">
        <v>72</v>
      </c>
      <c r="T21" s="11"/>
      <c r="Z21" s="11"/>
    </row>
    <row r="22" spans="1:26" ht="16.5" customHeight="1">
      <c r="G22" s="10"/>
      <c r="N22" s="11"/>
      <c r="O22" s="2" t="s">
        <v>19</v>
      </c>
      <c r="P22" s="2">
        <v>1</v>
      </c>
      <c r="Q22" s="2" t="s">
        <v>116</v>
      </c>
      <c r="R22" s="2" t="s">
        <v>109</v>
      </c>
      <c r="S22" s="2" t="s">
        <v>72</v>
      </c>
      <c r="T22" s="11"/>
      <c r="Z22" s="11"/>
    </row>
    <row r="23" spans="1:26" ht="14.25" customHeight="1">
      <c r="G23" s="10"/>
      <c r="N23" s="11"/>
      <c r="O23" s="2" t="s">
        <v>6</v>
      </c>
      <c r="P23" s="3" t="s">
        <v>109</v>
      </c>
      <c r="Q23" s="2" t="s">
        <v>116</v>
      </c>
      <c r="R23" s="2" t="s">
        <v>109</v>
      </c>
      <c r="S23" s="2" t="s">
        <v>72</v>
      </c>
      <c r="T23" s="11"/>
      <c r="Z23" s="11"/>
    </row>
    <row r="24" spans="1:26" ht="14.25" customHeight="1">
      <c r="G24" s="10"/>
      <c r="N24" s="11"/>
      <c r="O24" s="2" t="s">
        <v>25</v>
      </c>
      <c r="P24" s="3" t="s">
        <v>109</v>
      </c>
      <c r="Q24" s="2" t="s">
        <v>116</v>
      </c>
      <c r="R24" s="2" t="s">
        <v>109</v>
      </c>
      <c r="S24" s="2" t="s">
        <v>72</v>
      </c>
      <c r="T24" s="11"/>
      <c r="Z24" s="11"/>
    </row>
    <row r="25" spans="1:26" ht="15.75" customHeight="1">
      <c r="G25" s="10"/>
      <c r="N25" s="11"/>
      <c r="T25" s="11"/>
      <c r="Z25" s="11"/>
    </row>
    <row r="26" spans="1:26" ht="14.25" customHeight="1">
      <c r="G26" s="10"/>
      <c r="N26" s="11"/>
      <c r="O26" s="2" t="s">
        <v>44</v>
      </c>
      <c r="P26" s="2" t="s">
        <v>109</v>
      </c>
      <c r="Q26" s="2" t="s">
        <v>116</v>
      </c>
      <c r="R26" s="2" t="s">
        <v>109</v>
      </c>
      <c r="S26" s="2" t="s">
        <v>83</v>
      </c>
      <c r="T26" s="11"/>
      <c r="Z26" s="11"/>
    </row>
    <row r="27" spans="1:26" ht="15.75" customHeight="1">
      <c r="G27" s="10"/>
      <c r="N27" s="11"/>
      <c r="O27" s="2" t="s">
        <v>12</v>
      </c>
      <c r="P27" s="2" t="s">
        <v>109</v>
      </c>
      <c r="Q27" s="2" t="s">
        <v>116</v>
      </c>
      <c r="R27" s="2" t="s">
        <v>109</v>
      </c>
      <c r="S27" s="2" t="s">
        <v>83</v>
      </c>
      <c r="T27" s="11"/>
      <c r="Z27" s="11"/>
    </row>
    <row r="28" spans="1:26" ht="15.75" customHeight="1">
      <c r="G28" s="10"/>
      <c r="N28" s="11"/>
      <c r="O28" s="2" t="s">
        <v>9</v>
      </c>
      <c r="P28" s="2" t="s">
        <v>109</v>
      </c>
      <c r="Q28" s="2" t="s">
        <v>116</v>
      </c>
      <c r="R28" s="2" t="s">
        <v>109</v>
      </c>
      <c r="S28" s="2" t="s">
        <v>83</v>
      </c>
      <c r="T28" s="11"/>
      <c r="Z28" s="11"/>
    </row>
    <row r="29" spans="1:26" ht="17.25" customHeight="1">
      <c r="G29" s="10"/>
      <c r="N29" s="11"/>
      <c r="O29" s="2" t="s">
        <v>19</v>
      </c>
      <c r="P29" s="2">
        <v>1</v>
      </c>
      <c r="Q29" s="2" t="s">
        <v>116</v>
      </c>
      <c r="R29" s="2" t="s">
        <v>109</v>
      </c>
      <c r="S29" s="2" t="s">
        <v>83</v>
      </c>
      <c r="T29" s="11"/>
      <c r="Z29" s="11"/>
    </row>
    <row r="30" spans="1:26" ht="15" customHeight="1">
      <c r="G30" s="10"/>
      <c r="N30" s="11"/>
      <c r="O30" s="2" t="s">
        <v>6</v>
      </c>
      <c r="P30" s="3" t="s">
        <v>109</v>
      </c>
      <c r="Q30" s="2" t="s">
        <v>116</v>
      </c>
      <c r="R30" s="2" t="s">
        <v>109</v>
      </c>
      <c r="S30" s="2" t="s">
        <v>83</v>
      </c>
      <c r="T30" s="11"/>
      <c r="Z30" s="11"/>
    </row>
    <row r="31" spans="1:26" ht="17.25" customHeight="1">
      <c r="G31" s="10"/>
      <c r="N31" s="11"/>
      <c r="O31" s="2" t="s">
        <v>25</v>
      </c>
      <c r="P31" s="3" t="s">
        <v>109</v>
      </c>
      <c r="Q31" s="2" t="s">
        <v>116</v>
      </c>
      <c r="R31" s="2" t="s">
        <v>109</v>
      </c>
      <c r="S31" s="2" t="s">
        <v>83</v>
      </c>
      <c r="T31" s="11"/>
      <c r="Z31" s="11"/>
    </row>
    <row r="32" spans="1:26" ht="17.25" customHeight="1">
      <c r="A32" s="10"/>
      <c r="B32" s="10"/>
      <c r="C32" s="10"/>
      <c r="D32" s="10"/>
      <c r="E32" s="10"/>
      <c r="F32" s="10"/>
      <c r="G32" s="10"/>
      <c r="H32" s="10"/>
      <c r="I32" s="11"/>
      <c r="J32" s="11"/>
      <c r="K32" s="11"/>
      <c r="L32" s="11"/>
      <c r="M32" s="11"/>
      <c r="N32" s="11"/>
      <c r="O32" s="10"/>
      <c r="P32" s="11"/>
      <c r="Q32" s="10"/>
      <c r="R32" s="10"/>
      <c r="S32" s="10"/>
      <c r="T32" s="11"/>
      <c r="U32" s="11"/>
      <c r="V32" s="11"/>
      <c r="W32" s="11"/>
      <c r="X32" s="11"/>
      <c r="Y32" s="11"/>
      <c r="Z32" s="11"/>
    </row>
    <row r="33" spans="1:26" s="14" customFormat="1" ht="14.25" customHeight="1">
      <c r="A33" s="28" t="s">
        <v>98</v>
      </c>
      <c r="B33" s="28"/>
      <c r="C33" s="28"/>
      <c r="D33" s="28"/>
      <c r="E33" s="28"/>
      <c r="F33" s="28"/>
      <c r="G33" s="12"/>
      <c r="H33" s="29" t="s">
        <v>99</v>
      </c>
      <c r="I33" s="29"/>
      <c r="J33" s="29"/>
      <c r="K33" s="29"/>
      <c r="L33" s="29"/>
      <c r="M33" s="29"/>
      <c r="N33" s="13"/>
      <c r="O33" s="30" t="s">
        <v>100</v>
      </c>
      <c r="P33" s="30"/>
      <c r="Q33" s="30"/>
      <c r="R33" s="30"/>
      <c r="S33" s="30"/>
      <c r="T33" s="13"/>
      <c r="U33" s="31" t="s">
        <v>101</v>
      </c>
      <c r="V33" s="31"/>
      <c r="W33" s="31"/>
      <c r="X33" s="31"/>
      <c r="Y33" s="31"/>
      <c r="Z33" s="13"/>
    </row>
    <row r="34" spans="1:26" ht="15.75" customHeight="1">
      <c r="A34" s="27" t="s">
        <v>117</v>
      </c>
      <c r="B34" s="27"/>
      <c r="C34" s="27"/>
      <c r="D34" s="27"/>
      <c r="E34" s="2">
        <f>SUM(C6:C10)</f>
        <v>9</v>
      </c>
      <c r="G34" s="10"/>
      <c r="H34" s="27" t="s">
        <v>117</v>
      </c>
      <c r="I34" s="27"/>
      <c r="J34" s="27"/>
      <c r="K34" s="27"/>
      <c r="L34" s="3">
        <f>SUM(J5:J8)</f>
        <v>7</v>
      </c>
      <c r="N34" s="11"/>
      <c r="O34" s="27" t="s">
        <v>118</v>
      </c>
      <c r="P34" s="27"/>
      <c r="Q34" s="27"/>
      <c r="R34" s="27"/>
      <c r="S34" s="3">
        <f>SUM(P5:P31)</f>
        <v>20</v>
      </c>
      <c r="T34" s="11"/>
      <c r="U34" s="27" t="s">
        <v>118</v>
      </c>
      <c r="V34" s="27"/>
      <c r="W34" s="27"/>
      <c r="X34" s="27"/>
      <c r="Y34" s="3">
        <f>SUM(V7:V10)</f>
        <v>3</v>
      </c>
      <c r="Z34" s="11"/>
    </row>
    <row r="35" spans="1:26" ht="15" customHeight="1">
      <c r="A35" s="27" t="s">
        <v>118</v>
      </c>
      <c r="B35" s="27"/>
      <c r="C35" s="27"/>
      <c r="D35" s="27"/>
      <c r="E35" s="2">
        <f>SUM(B6:B9)</f>
        <v>13</v>
      </c>
      <c r="G35" s="10"/>
      <c r="H35" s="27" t="s">
        <v>118</v>
      </c>
      <c r="I35" s="27"/>
      <c r="J35" s="27"/>
      <c r="K35" s="27"/>
      <c r="L35" s="3">
        <f>SUM(I5:I9)</f>
        <v>25</v>
      </c>
      <c r="N35" s="11"/>
      <c r="O35" s="25" t="s">
        <v>31</v>
      </c>
      <c r="P35" s="25"/>
      <c r="Q35" s="25"/>
      <c r="R35" s="25"/>
      <c r="S35" s="3">
        <f>SUM(S34)</f>
        <v>20</v>
      </c>
      <c r="T35" s="11"/>
      <c r="U35" s="25" t="s">
        <v>31</v>
      </c>
      <c r="V35" s="25"/>
      <c r="W35" s="25"/>
      <c r="X35" s="25"/>
      <c r="Y35" s="3">
        <f>SUM(Y34)</f>
        <v>3</v>
      </c>
      <c r="Z35" s="11"/>
    </row>
    <row r="36" spans="1:26">
      <c r="A36" s="27" t="s">
        <v>31</v>
      </c>
      <c r="B36" s="27"/>
      <c r="C36" s="27"/>
      <c r="D36" s="27"/>
      <c r="E36" s="2">
        <f>SUM(E34:E35)</f>
        <v>22</v>
      </c>
      <c r="G36" s="10"/>
      <c r="H36" s="27" t="s">
        <v>31</v>
      </c>
      <c r="I36" s="27"/>
      <c r="J36" s="27"/>
      <c r="K36" s="27"/>
      <c r="L36" s="3">
        <f>SUM(L34:L35)</f>
        <v>32</v>
      </c>
      <c r="N36" s="11"/>
      <c r="T36" s="11"/>
      <c r="Z36" s="11"/>
    </row>
    <row r="37" spans="1:26" ht="20.25" customHeight="1">
      <c r="A37" s="26" t="s">
        <v>119</v>
      </c>
      <c r="B37" s="26"/>
      <c r="C37" s="26"/>
      <c r="D37" s="9">
        <f>SUM(E36,L36,S35,Y35)</f>
        <v>77</v>
      </c>
      <c r="E37" s="10"/>
      <c r="F37" s="10"/>
      <c r="G37" s="10"/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</sheetData>
  <mergeCells count="19">
    <mergeCell ref="U1:Y1"/>
    <mergeCell ref="A34:D34"/>
    <mergeCell ref="O33:S33"/>
    <mergeCell ref="U33:Y33"/>
    <mergeCell ref="O34:R34"/>
    <mergeCell ref="U34:X34"/>
    <mergeCell ref="A33:F33"/>
    <mergeCell ref="H33:M33"/>
    <mergeCell ref="H34:K34"/>
    <mergeCell ref="A1:F1"/>
    <mergeCell ref="H1:M1"/>
    <mergeCell ref="A36:D36"/>
    <mergeCell ref="H36:K36"/>
    <mergeCell ref="O1:S1"/>
    <mergeCell ref="O35:R35"/>
    <mergeCell ref="U35:X35"/>
    <mergeCell ref="A37:C37"/>
    <mergeCell ref="A35:D35"/>
    <mergeCell ref="H35:K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90C4-6D02-4AB7-8D2D-18863A33ADC3}">
  <dimension ref="A1:G8"/>
  <sheetViews>
    <sheetView tabSelected="1" workbookViewId="0">
      <selection activeCell="F2" sqref="F2"/>
    </sheetView>
  </sheetViews>
  <sheetFormatPr defaultRowHeight="15"/>
  <cols>
    <col min="1" max="1" width="13.5703125" customWidth="1"/>
    <col min="2" max="2" width="17" customWidth="1"/>
    <col min="3" max="3" width="17.85546875" customWidth="1"/>
    <col min="4" max="6" width="20.7109375" customWidth="1"/>
    <col min="7" max="7" width="25.85546875" customWidth="1"/>
  </cols>
  <sheetData>
    <row r="1" spans="1: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</row>
    <row r="2" spans="1:7">
      <c r="A2" t="s">
        <v>127</v>
      </c>
      <c r="B2">
        <v>0.99</v>
      </c>
      <c r="C2">
        <v>40</v>
      </c>
      <c r="D2">
        <v>250</v>
      </c>
      <c r="E2">
        <v>37.380000000000003</v>
      </c>
      <c r="G2">
        <f>B2*D2+C2+E2</f>
        <v>324.88</v>
      </c>
    </row>
    <row r="3" spans="1:7">
      <c r="A3" t="s">
        <v>128</v>
      </c>
      <c r="B3">
        <v>2.5</v>
      </c>
      <c r="C3" t="s">
        <v>129</v>
      </c>
      <c r="D3">
        <v>150</v>
      </c>
      <c r="E3">
        <v>48.75</v>
      </c>
      <c r="G3">
        <f>D3*B3+E3</f>
        <v>423.75</v>
      </c>
    </row>
    <row r="4" spans="1:7">
      <c r="A4" t="s">
        <v>130</v>
      </c>
      <c r="B4">
        <f>5.5+0.75</f>
        <v>6.25</v>
      </c>
      <c r="C4">
        <v>80</v>
      </c>
      <c r="D4">
        <v>150</v>
      </c>
      <c r="E4">
        <v>132.28</v>
      </c>
      <c r="G4">
        <f>B4*D4+C4+E4</f>
        <v>1149.78</v>
      </c>
    </row>
    <row r="8" spans="1:7">
      <c r="D8" t="s">
        <v>31</v>
      </c>
      <c r="G8">
        <f>SUM(G2:G4)</f>
        <v>1898.4099999999999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D81-54F9-47D3-8035-9EE02136FDD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AFCDE-7E33-437D-B368-178CBB7625C1}"/>
</file>

<file path=customXml/itemProps2.xml><?xml version="1.0" encoding="utf-8"?>
<ds:datastoreItem xmlns:ds="http://schemas.openxmlformats.org/officeDocument/2006/customXml" ds:itemID="{4B4B166E-7384-4980-B000-2F696745F247}"/>
</file>

<file path=customXml/itemProps3.xml><?xml version="1.0" encoding="utf-8"?>
<ds:datastoreItem xmlns:ds="http://schemas.openxmlformats.org/officeDocument/2006/customXml" ds:itemID="{45A0C6EA-444E-4C44-B0D4-2F056E415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Nesbitt</dc:creator>
  <cp:keywords/>
  <dc:description/>
  <cp:lastModifiedBy>Kiyoko Gotanda</cp:lastModifiedBy>
  <cp:revision/>
  <dcterms:created xsi:type="dcterms:W3CDTF">2026-04-13T15:29:57Z</dcterms:created>
  <dcterms:modified xsi:type="dcterms:W3CDTF">2026-04-28T20:01:26Z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