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6"/>
  <workbookPr filterPrivacy="1"/>
  <xr:revisionPtr revIDLastSave="276" documentId="13_ncr:11_{C1C926DA-B00C-40B3-8A7F-B8EFFF411B22}" xr6:coauthVersionLast="47" xr6:coauthVersionMax="47" xr10:uidLastSave="{657410FD-EC92-4D12-8864-E1C071C10F39}"/>
  <bookViews>
    <workbookView xWindow="0" yWindow="500" windowWidth="28800" windowHeight="15720" xr2:uid="{00000000-000D-0000-FFFF-FFFF00000000}"/>
  </bookViews>
  <sheets>
    <sheet name="Expenses" sheetId="1" r:id="rId1"/>
    <sheet name="Profit &amp; loss summary" sheetId="3" r:id="rId2"/>
  </sheets>
  <definedNames>
    <definedName name="_xlnm.Print_Area" localSheetId="1">'Profit &amp; loss summary'!$A:$H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" l="1"/>
  <c r="O13" i="3" s="1"/>
  <c r="P13" i="3" s="1"/>
  <c r="H98" i="1"/>
  <c r="G98" i="1"/>
  <c r="H90" i="1"/>
  <c r="G90" i="1"/>
  <c r="H82" i="1"/>
  <c r="G82" i="1"/>
  <c r="D50" i="1"/>
  <c r="C50" i="1"/>
  <c r="C14" i="1"/>
  <c r="C15" i="1"/>
  <c r="C16" i="1"/>
  <c r="H36" i="1"/>
  <c r="G36" i="1"/>
  <c r="H58" i="1"/>
  <c r="G58" i="1"/>
  <c r="G49" i="1"/>
  <c r="N13" i="3" s="1"/>
  <c r="D41" i="1"/>
  <c r="C41" i="1"/>
  <c r="D17" i="1"/>
  <c r="O8" i="3" s="1"/>
  <c r="P8" i="3" s="1"/>
  <c r="O18" i="3"/>
  <c r="P18" i="3" s="1"/>
  <c r="C27" i="1"/>
  <c r="N9" i="3" s="1"/>
  <c r="C32" i="1"/>
  <c r="N10" i="3" s="1"/>
  <c r="G17" i="1"/>
  <c r="N11" i="3" s="1"/>
  <c r="G23" i="1"/>
  <c r="N12" i="3" s="1"/>
  <c r="G74" i="1"/>
  <c r="N14" i="3" s="1"/>
  <c r="H74" i="1"/>
  <c r="O14" i="3" s="1"/>
  <c r="P14" i="3" s="1"/>
  <c r="H23" i="1"/>
  <c r="O12" i="3" s="1"/>
  <c r="P12" i="3" s="1"/>
  <c r="H17" i="1"/>
  <c r="O11" i="3" s="1"/>
  <c r="P11" i="3" s="1"/>
  <c r="D32" i="1"/>
  <c r="O10" i="3" s="1"/>
  <c r="P10" i="3" s="1"/>
  <c r="D27" i="1"/>
  <c r="C17" i="1" l="1"/>
  <c r="N8" i="3" s="1"/>
  <c r="N21" i="3"/>
  <c r="O21" i="3"/>
  <c r="P21" i="3" s="1"/>
  <c r="N20" i="3"/>
  <c r="D8" i="1"/>
  <c r="N19" i="3"/>
  <c r="O19" i="3"/>
  <c r="P19" i="3" s="1"/>
  <c r="O20" i="3"/>
  <c r="P20" i="3" s="1"/>
  <c r="O9" i="3"/>
  <c r="P9" i="3" s="1"/>
  <c r="L9" i="3" s="1"/>
  <c r="C8" i="1" l="1"/>
  <c r="L19" i="3"/>
  <c r="N18" i="3"/>
  <c r="L11" i="3"/>
  <c r="L12" i="3"/>
  <c r="L14" i="3"/>
  <c r="L21" i="3"/>
  <c r="L20" i="3"/>
  <c r="L10" i="3"/>
  <c r="L13" i="3"/>
  <c r="L8" i="3"/>
  <c r="L18" i="3"/>
  <c r="D20" i="3" l="1"/>
  <c r="D19" i="3"/>
  <c r="C19" i="3"/>
  <c r="B19" i="3"/>
  <c r="D21" i="3"/>
  <c r="B21" i="3"/>
  <c r="D18" i="3"/>
  <c r="C18" i="3"/>
  <c r="C20" i="3"/>
  <c r="C21" i="3"/>
  <c r="B18" i="3"/>
  <c r="D14" i="3"/>
  <c r="D13" i="3"/>
  <c r="D8" i="3"/>
  <c r="B8" i="3"/>
  <c r="D10" i="3"/>
  <c r="D9" i="3"/>
  <c r="C11" i="3"/>
  <c r="C13" i="3"/>
  <c r="C12" i="3"/>
  <c r="B14" i="3"/>
  <c r="B13" i="3"/>
  <c r="C9" i="3"/>
  <c r="C8" i="3"/>
  <c r="B10" i="3"/>
  <c r="B12" i="3"/>
  <c r="B11" i="3"/>
  <c r="C10" i="3"/>
  <c r="C14" i="3"/>
  <c r="D11" i="3"/>
  <c r="B9" i="3"/>
  <c r="D12" i="3"/>
  <c r="D22" i="3" l="1"/>
  <c r="D25" i="3" s="1"/>
  <c r="C22" i="3"/>
  <c r="C25" i="3" s="1"/>
  <c r="C15" i="3"/>
  <c r="C26" i="3" s="1"/>
  <c r="D15" i="3"/>
  <c r="D26" i="3" s="1"/>
  <c r="D27" i="3" l="1"/>
  <c r="C2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tc={D6E72B38-DDDB-48DE-AF9F-0D9109A03BCD}</author>
    <author>tc={A49C04FF-6D8D-46F2-8DA4-3CA61271F04C}</author>
    <author>tc={15F272A6-0F0A-4C54-AF3C-729CBBE9B0B3}</author>
  </authors>
  <commentList>
    <comment ref="C14" authorId="0" shapeId="0" xr:uid="{D6E72B38-DDDB-48DE-AF9F-0D9109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break down with HST and 4% service charge and base cost</t>
      </text>
    </comment>
    <comment ref="F20" authorId="1" shapeId="0" xr:uid="{A49C04FF-6D8D-46F2-8DA4-3CA61271F04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this is the conference registration set-up and maintenance fee, I'd call it that.</t>
      </text>
    </comment>
    <comment ref="B34" authorId="2" shapeId="0" xr:uid="{15F272A6-0F0A-4C54-AF3C-729CBBE9B0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Maybe: include a column/section for donations specifically. Overall, the sheet looks great! </t>
      </text>
    </comment>
  </commentList>
</comments>
</file>

<file path=xl/sharedStrings.xml><?xml version="1.0" encoding="utf-8"?>
<sst xmlns="http://schemas.openxmlformats.org/spreadsheetml/2006/main" count="185" uniqueCount="124">
  <si>
    <t xml:space="preserve"> </t>
  </si>
  <si>
    <t>OE3C CONFERENCE</t>
  </si>
  <si>
    <t>BUDGET DETAILS</t>
  </si>
  <si>
    <t>Net Cost</t>
  </si>
  <si>
    <t>Estimated</t>
  </si>
  <si>
    <t>Actual</t>
  </si>
  <si>
    <t>Promotional Materials</t>
  </si>
  <si>
    <t>Price Per Unit (PPU)</t>
  </si>
  <si>
    <t>Total Cost</t>
  </si>
  <si>
    <t>Shirts (for sale @ $25)</t>
  </si>
  <si>
    <t xml:space="preserve">Total Revenue </t>
  </si>
  <si>
    <t>Surplus</t>
  </si>
  <si>
    <t xml:space="preserve">Current </t>
  </si>
  <si>
    <t>Lanyards</t>
  </si>
  <si>
    <t>Pens</t>
  </si>
  <si>
    <t>Wildflower seed packets (?)</t>
  </si>
  <si>
    <t>Stickers</t>
  </si>
  <si>
    <t>Registration</t>
  </si>
  <si>
    <t>HST &amp; Service Charge</t>
  </si>
  <si>
    <t>Total/ Person</t>
  </si>
  <si>
    <t>Tote bags</t>
  </si>
  <si>
    <t xml:space="preserve">Students </t>
  </si>
  <si>
    <t>Committtee Shirts</t>
  </si>
  <si>
    <t>Post-Doc</t>
  </si>
  <si>
    <t xml:space="preserve">Volunteer Shirts </t>
  </si>
  <si>
    <t>Faculty</t>
  </si>
  <si>
    <t>Notebook</t>
  </si>
  <si>
    <t>Total</t>
  </si>
  <si>
    <t>External Funding</t>
  </si>
  <si>
    <t>Venue</t>
  </si>
  <si>
    <t xml:space="preserve">American Genetics Assosiation </t>
  </si>
  <si>
    <t>Conference registration + Maintenance</t>
  </si>
  <si>
    <t>American Fisheries Society</t>
  </si>
  <si>
    <t>Facility Rental</t>
  </si>
  <si>
    <t xml:space="preserve">Canadian Herpetelogical Society </t>
  </si>
  <si>
    <t>Table set up</t>
  </si>
  <si>
    <t>Canadian Society of Ecology and Evolution</t>
  </si>
  <si>
    <t xml:space="preserve">Canadian Section of the wildlife society </t>
  </si>
  <si>
    <t>Company of Biologists</t>
  </si>
  <si>
    <t>Catering Services</t>
  </si>
  <si>
    <t xml:space="preserve">The Comparitive Congnition Society </t>
  </si>
  <si>
    <t>Day 1 - Coffee Break</t>
  </si>
  <si>
    <t>Day 1 - Dinner</t>
  </si>
  <si>
    <t>Day 2 - Breakfast</t>
  </si>
  <si>
    <t>Internal Funding</t>
  </si>
  <si>
    <t>Day 2 - Lunch</t>
  </si>
  <si>
    <t>Dean's Contribution</t>
  </si>
  <si>
    <t xml:space="preserve">Day 2 - Coffee Break </t>
  </si>
  <si>
    <t>Exchange Grant</t>
  </si>
  <si>
    <t xml:space="preserve">Day 2 - Dinner </t>
  </si>
  <si>
    <t>Day 3 - Breakfast</t>
  </si>
  <si>
    <t>Day 3 - Lunch</t>
  </si>
  <si>
    <t>Sponsorships</t>
  </si>
  <si>
    <t>Day 3 - Coffee Break</t>
  </si>
  <si>
    <t>Day 3 - Dinner</t>
  </si>
  <si>
    <t>Awards</t>
  </si>
  <si>
    <t>Amount</t>
  </si>
  <si>
    <t xml:space="preserve">Total </t>
  </si>
  <si>
    <t>Best Undergrad Talk</t>
  </si>
  <si>
    <t>Runner-up (Undergrad)</t>
  </si>
  <si>
    <t>Best Master's Talk</t>
  </si>
  <si>
    <t>Runner-up (Master's)</t>
  </si>
  <si>
    <t>Donations</t>
  </si>
  <si>
    <t xml:space="preserve">Best PhD Talk </t>
  </si>
  <si>
    <t xml:space="preserve">Amazon gift cards </t>
  </si>
  <si>
    <t>Runner-up (PhD)</t>
  </si>
  <si>
    <t xml:space="preserve">Best Graduate Poster </t>
  </si>
  <si>
    <t xml:space="preserve">Runner-up (Graduate) </t>
  </si>
  <si>
    <t>Best Undergrade Poster</t>
  </si>
  <si>
    <t>Outings, workshops, and events</t>
  </si>
  <si>
    <t>Photo Competition subscription</t>
  </si>
  <si>
    <t>Niagara Falls Trip</t>
  </si>
  <si>
    <t xml:space="preserve">CCOVI Tasting Social </t>
  </si>
  <si>
    <t>Scavenger Hunt</t>
  </si>
  <si>
    <t>Computer Workshop</t>
  </si>
  <si>
    <t>Photography Workshop (Kiyoko)</t>
  </si>
  <si>
    <t>Banquet</t>
  </si>
  <si>
    <t>Cost</t>
  </si>
  <si>
    <t>Coffee - 100 Cup Urn</t>
  </si>
  <si>
    <t>Decaf Coffee - 10 Cup Carafe</t>
  </si>
  <si>
    <t>Tea Service</t>
  </si>
  <si>
    <t>Pitcher of water - Serves 8</t>
  </si>
  <si>
    <t xml:space="preserve">Lemon water </t>
  </si>
  <si>
    <t>Vegetarian Packaged Meal</t>
  </si>
  <si>
    <t>Meat Package Meal</t>
  </si>
  <si>
    <t>Entertainment</t>
  </si>
  <si>
    <t>Bar set up/ Bartender</t>
  </si>
  <si>
    <t>Napkins</t>
  </si>
  <si>
    <t>Table Linens</t>
  </si>
  <si>
    <t>China set</t>
  </si>
  <si>
    <t>Plenary 1 - Nancy Chen (Evolution)</t>
  </si>
  <si>
    <t>Accomodations (4 nights)</t>
  </si>
  <si>
    <t>Travel</t>
  </si>
  <si>
    <t>Parking Fees</t>
  </si>
  <si>
    <t>Local Transportation</t>
  </si>
  <si>
    <t>Favours</t>
  </si>
  <si>
    <t>Plenary 2 - Jesse Popp (Ecology)</t>
  </si>
  <si>
    <t>Plenary 3 - Melanie (Evolution)</t>
  </si>
  <si>
    <t>REVENUE SUMMARY</t>
  </si>
  <si>
    <t>Expenses summary</t>
  </si>
  <si>
    <t>Actual expenses</t>
  </si>
  <si>
    <t>Ranking</t>
  </si>
  <si>
    <t>Expenses</t>
  </si>
  <si>
    <t>Ranking Value</t>
  </si>
  <si>
    <t>Site</t>
  </si>
  <si>
    <t>Decorations</t>
  </si>
  <si>
    <t>Refreshments</t>
  </si>
  <si>
    <t>Program</t>
  </si>
  <si>
    <t>Publicity</t>
  </si>
  <si>
    <t>Prizes</t>
  </si>
  <si>
    <t>Miscellaneous</t>
  </si>
  <si>
    <t>Income summary</t>
  </si>
  <si>
    <t>Actual income</t>
  </si>
  <si>
    <t>Income</t>
  </si>
  <si>
    <t>Admissions</t>
  </si>
  <si>
    <t>Ads in Program</t>
  </si>
  <si>
    <t>Sales of Items</t>
  </si>
  <si>
    <t>Exhibitors / Vendors</t>
  </si>
  <si>
    <t>Profit &amp; loss summary</t>
  </si>
  <si>
    <t>Total Income</t>
  </si>
  <si>
    <t>Total Expenses</t>
  </si>
  <si>
    <t>Profit or (Loss)</t>
  </si>
  <si>
    <t>Expenses to profit (loss) ratio</t>
  </si>
  <si>
    <t>Estimated vs actual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</si>
</sst>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#,##0.0000_);[Red]\(#,##0.0000\)"/>
  </numFmts>
  <fonts count="25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22"/>
      <color theme="4"/>
      <name val="Trebuchet MS"/>
      <family val="2"/>
      <scheme val="major"/>
    </font>
    <font>
      <sz val="22"/>
      <color theme="1" tint="0.14999847407452621"/>
      <name val="Trebuchet MS"/>
      <family val="2"/>
      <scheme val="major"/>
    </font>
    <font>
      <sz val="24"/>
      <color theme="1" tint="0.14999847407452621"/>
      <name val="Trebuchet MS"/>
      <family val="2"/>
      <scheme val="major"/>
    </font>
    <font>
      <sz val="24"/>
      <color theme="9"/>
      <name val="Trebuchet MS"/>
      <family val="2"/>
      <scheme val="major"/>
    </font>
    <font>
      <sz val="10"/>
      <color theme="1" tint="0.14999847407452621"/>
      <name val="Trebuchet MS"/>
      <family val="3"/>
      <scheme val="minor"/>
    </font>
    <font>
      <sz val="10"/>
      <color theme="0"/>
      <name val="Trebuchet MS"/>
      <family val="3"/>
      <scheme val="minor"/>
    </font>
    <font>
      <sz val="10"/>
      <color theme="9"/>
      <name val="Trebuchet MS"/>
      <family val="3"/>
      <scheme val="minor"/>
    </font>
    <font>
      <sz val="16"/>
      <color theme="0"/>
      <name val="Trebuchet MS"/>
      <family val="3"/>
      <scheme val="minor"/>
    </font>
    <font>
      <sz val="16"/>
      <color theme="1" tint="0.14999847407452621"/>
      <name val="Trebuchet MS"/>
      <family val="3"/>
      <scheme val="minor"/>
    </font>
    <font>
      <sz val="22"/>
      <color theme="1" tint="0.14999847407452621"/>
      <name val="Trebuchet MS"/>
      <family val="3"/>
      <scheme val="minor"/>
    </font>
    <font>
      <sz val="12"/>
      <color theme="0"/>
      <name val="Trebuchet MS"/>
      <family val="3"/>
      <scheme val="minor"/>
    </font>
    <font>
      <sz val="10"/>
      <color theme="1"/>
      <name val="Trebuchet MS"/>
      <family val="3"/>
      <scheme val="minor"/>
    </font>
    <font>
      <sz val="24"/>
      <color theme="9"/>
      <name val="Trebuchet MS"/>
      <family val="3"/>
      <scheme val="minor"/>
    </font>
    <font>
      <sz val="24"/>
      <color theme="0"/>
      <name val="Trebuchet MS"/>
      <family val="3"/>
      <scheme val="minor"/>
    </font>
    <font>
      <sz val="10"/>
      <name val="Trebuchet MS"/>
      <family val="3"/>
      <scheme val="minor"/>
    </font>
    <font>
      <b/>
      <sz val="10"/>
      <name val="Trebuchet MS"/>
      <family val="3"/>
      <scheme val="minor"/>
    </font>
    <font>
      <sz val="36"/>
      <color rgb="FF92D050"/>
      <name val="Trebuchet MS"/>
      <family val="2"/>
      <scheme val="major"/>
    </font>
    <font>
      <sz val="24"/>
      <color rgb="FF92D050"/>
      <name val="Trebuchet MS"/>
      <family val="2"/>
      <scheme val="major"/>
    </font>
    <font>
      <sz val="24"/>
      <color rgb="FF92D050"/>
      <name val="Trebuchet MS"/>
      <family val="3"/>
      <scheme val="minor"/>
    </font>
    <font>
      <b/>
      <sz val="24"/>
      <color rgb="FF92D050"/>
      <name val="Trebuchet MS"/>
      <family val="3"/>
      <scheme val="minor"/>
    </font>
    <font>
      <sz val="10"/>
      <color rgb="FF92D050"/>
      <name val="Trebuchet MS"/>
      <family val="2"/>
      <scheme val="minor"/>
    </font>
    <font>
      <sz val="10"/>
      <color rgb="FF000000"/>
      <name val="Trebuchet M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3300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0" borderId="0"/>
  </cellStyleXfs>
  <cellXfs count="54">
    <xf numFmtId="0" fontId="0" fillId="0" borderId="0" xfId="0"/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 indent="7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8" fontId="7" fillId="0" borderId="0" xfId="0" applyNumberFormat="1" applyFont="1" applyAlignment="1">
      <alignment horizontal="center" vertical="center"/>
    </xf>
    <xf numFmtId="6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vertical="top" indent="1"/>
    </xf>
    <xf numFmtId="8" fontId="7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7" fontId="7" fillId="0" borderId="0" xfId="0" applyNumberFormat="1" applyFont="1" applyAlignment="1">
      <alignment horizontal="center" vertical="center"/>
    </xf>
    <xf numFmtId="8" fontId="14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 wrapText="1" indent="1"/>
    </xf>
    <xf numFmtId="0" fontId="17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 wrapText="1" indent="1"/>
    </xf>
    <xf numFmtId="0" fontId="17" fillId="4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left" vertical="center" indent="1"/>
    </xf>
    <xf numFmtId="0" fontId="18" fillId="5" borderId="1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9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indent="2"/>
    </xf>
    <xf numFmtId="0" fontId="15" fillId="6" borderId="0" xfId="0" applyFont="1" applyFill="1" applyAlignment="1">
      <alignment horizontal="left" indent="1"/>
    </xf>
    <xf numFmtId="0" fontId="6" fillId="6" borderId="0" xfId="0" applyFont="1" applyFill="1" applyAlignment="1">
      <alignment horizontal="left" vertical="top" indent="1"/>
    </xf>
    <xf numFmtId="0" fontId="19" fillId="6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vertical="top" indent="1"/>
    </xf>
    <xf numFmtId="0" fontId="21" fillId="6" borderId="0" xfId="0" applyFont="1" applyFill="1" applyAlignment="1">
      <alignment horizontal="left" indent="1"/>
    </xf>
    <xf numFmtId="0" fontId="22" fillId="6" borderId="0" xfId="0" applyFont="1" applyFill="1" applyAlignment="1">
      <alignment horizontal="left" vertical="top"/>
    </xf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 indent="2"/>
    </xf>
    <xf numFmtId="0" fontId="20" fillId="6" borderId="0" xfId="0" applyFont="1" applyFill="1" applyAlignment="1">
      <alignment vertical="top"/>
    </xf>
    <xf numFmtId="0" fontId="5" fillId="6" borderId="0" xfId="0" applyFont="1" applyFill="1" applyAlignment="1">
      <alignment vertical="top"/>
    </xf>
    <xf numFmtId="0" fontId="4" fillId="6" borderId="0" xfId="0" applyFont="1" applyFill="1" applyAlignment="1">
      <alignment horizontal="left" vertical="top" indent="7"/>
    </xf>
    <xf numFmtId="0" fontId="23" fillId="6" borderId="0" xfId="0" applyFont="1" applyFill="1" applyAlignment="1">
      <alignment horizontal="left" vertical="center" indent="1"/>
    </xf>
    <xf numFmtId="0" fontId="23" fillId="6" borderId="0" xfId="0" applyFont="1" applyFill="1" applyAlignment="1">
      <alignment horizontal="center" vertical="center"/>
    </xf>
    <xf numFmtId="8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24" fillId="3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</cellXfs>
  <cellStyles count="3">
    <cellStyle name="Normal" xfId="0" builtinId="0" customBuiltin="1"/>
    <cellStyle name="Normal 2" xfId="2" xr:uid="{00000000-0005-0000-0000-000001000000}"/>
    <cellStyle name="Title" xfId="1" builtinId="15" customBuiltin="1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 outline="0"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64" formatCode="&quot;$&quot;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2" formatCode="&quot;$&quot;#,##0.00_);[Red]\(&quot;$&quot;#,##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1" formatCode="&quot;$&quot;#,##0.00_);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1" formatCode="&quot;$&quot;#,##0.00_);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1" formatCode="&quot;$&quot;#,##0.00_);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 patternType="solid">
          <bgColor theme="0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>
          <bgColor theme="5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color theme="1"/>
      </font>
      <fill>
        <patternFill patternType="solid">
          <bgColor theme="0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 patternType="none">
          <bgColor auto="1"/>
        </patternFill>
      </fill>
    </dxf>
    <dxf>
      <font>
        <color auto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  <dxf>
      <font>
        <b/>
        <i val="0"/>
        <color theme="1"/>
      </font>
    </dxf>
    <dxf>
      <font>
        <color theme="0"/>
      </font>
      <fill>
        <patternFill patternType="solid">
          <bgColor theme="8"/>
        </patternFill>
      </fill>
    </dxf>
    <dxf>
      <font>
        <b/>
        <i val="0"/>
        <color theme="8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theme="1"/>
      </font>
      <border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/>
        </patternFill>
      </fill>
      <border>
        <horizontal style="medium">
          <color theme="0"/>
        </horizontal>
      </border>
    </dxf>
    <dxf>
      <font>
        <b/>
        <color theme="1"/>
      </font>
    </dxf>
    <dxf>
      <font>
        <b/>
        <color theme="1"/>
      </font>
    </dxf>
    <dxf>
      <font>
        <b val="0"/>
        <i val="0"/>
        <color theme="1"/>
      </font>
      <fill>
        <patternFill>
          <bgColor theme="4" tint="0.79998168889431442"/>
        </patternFill>
      </fill>
      <border>
        <top style="medium">
          <color theme="0"/>
        </top>
      </border>
    </dxf>
    <dxf>
      <font>
        <b val="0"/>
        <i val="0"/>
        <color theme="0"/>
      </font>
      <fill>
        <patternFill>
          <bgColor theme="4" tint="0.59996337778862885"/>
        </patternFill>
      </fill>
      <border>
        <bottom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TableStyleLight1 2" pivot="0" count="7" xr9:uid="{00000000-0011-0000-FFFF-FFFF00000000}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firstRowStripe" size="7" dxfId="170"/>
      <tableStyleElement type="firstColumnStripe" dxfId="169"/>
    </tableStyle>
    <tableStyle name="TableStyleLight13 2" pivot="0" count="5" xr9:uid="{BF0AC349-EC24-304B-98E9-A4C6380F570E}">
      <tableStyleElement type="wholeTable" dxfId="168"/>
      <tableStyleElement type="headerRow" dxfId="167"/>
      <tableStyleElement type="totalRow" dxfId="166"/>
      <tableStyleElement type="firstHeaderCell" dxfId="165"/>
      <tableStyleElement type="lastHeaderCell" dxfId="164"/>
    </tableStyle>
    <tableStyle name="TableStyleLight13 2 2" pivot="0" count="4" xr9:uid="{09BE2AD3-866B-2F4E-A3F7-BEEDDC0EF150}">
      <tableStyleElement type="wholeTable" dxfId="163"/>
      <tableStyleElement type="headerRow" dxfId="162"/>
      <tableStyleElement type="totalRow" dxfId="161"/>
      <tableStyleElement type="firstHeaderCell" dxfId="160"/>
    </tableStyle>
    <tableStyle name="TableStyleLight13 2 2 2" pivot="0" count="4" xr9:uid="{AD18D16F-02C3-BA47-83B8-EE9DB2B76AED}">
      <tableStyleElement type="wholeTable" dxfId="159"/>
      <tableStyleElement type="headerRow" dxfId="158"/>
      <tableStyleElement type="totalRow" dxfId="157"/>
      <tableStyleElement type="firstHeaderCell" dxfId="15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7795CB"/>
      <rgbColor rgb="00333333"/>
    </indexedColors>
    <mruColors>
      <color rgb="FF003300"/>
      <color rgb="FF62BECA"/>
      <color rgb="FFB50B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074815414428334"/>
          <c:y val="2.7777777777777776E-2"/>
          <c:w val="0.64581524272082813"/>
          <c:h val="0.944444444444444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'Profit &amp; loss summary'!$B$8:$B$14</c:f>
              <c:strCache>
                <c:ptCount val="7"/>
                <c:pt idx="0">
                  <c:v>Refreshments</c:v>
                </c:pt>
                <c:pt idx="1">
                  <c:v>Miscellaneous</c:v>
                </c:pt>
                <c:pt idx="2">
                  <c:v>Program</c:v>
                </c:pt>
                <c:pt idx="3">
                  <c:v>Prizes</c:v>
                </c:pt>
                <c:pt idx="4">
                  <c:v>Site</c:v>
                </c:pt>
                <c:pt idx="5">
                  <c:v>Publicity</c:v>
                </c:pt>
                <c:pt idx="6">
                  <c:v>Decorations</c:v>
                </c:pt>
              </c:strCache>
            </c:strRef>
          </c:cat>
          <c:val>
            <c:numRef>
              <c:f>'Profit &amp; loss summary'!$D$8:$D$14</c:f>
              <c:numCache>
                <c:formatCode>"$"#,##0.00_);[Red]\("$"#,##0.00\)</c:formatCode>
                <c:ptCount val="7"/>
                <c:pt idx="0">
                  <c:v>9500</c:v>
                </c:pt>
                <c:pt idx="1">
                  <c:v>7999.8</c:v>
                </c:pt>
                <c:pt idx="2">
                  <c:v>3260</c:v>
                </c:pt>
                <c:pt idx="3">
                  <c:v>1750</c:v>
                </c:pt>
                <c:pt idx="4">
                  <c:v>665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9-4845-B8AA-AE76CE63C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2234600"/>
        <c:axId val="432235584"/>
      </c:barChart>
      <c:catAx>
        <c:axId val="432234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35584"/>
        <c:crosses val="autoZero"/>
        <c:auto val="1"/>
        <c:lblAlgn val="ctr"/>
        <c:lblOffset val="100"/>
        <c:noMultiLvlLbl val="0"/>
      </c:catAx>
      <c:valAx>
        <c:axId val="432235584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432234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93777182751289"/>
          <c:y val="0.05"/>
          <c:w val="0.65218936970054531"/>
          <c:h val="0.863889107611548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'Profit &amp; loss summary'!$B$18:$B$21</c:f>
              <c:strCache>
                <c:ptCount val="4"/>
                <c:pt idx="0">
                  <c:v>#N/A</c:v>
                </c:pt>
                <c:pt idx="1">
                  <c:v>#N/A</c:v>
                </c:pt>
                <c:pt idx="2">
                  <c:v>Sales of Items</c:v>
                </c:pt>
                <c:pt idx="3">
                  <c:v>#N/A</c:v>
                </c:pt>
              </c:strCache>
            </c:strRef>
          </c:cat>
          <c:val>
            <c:numRef>
              <c:f>'Profit &amp; loss summary'!$D$18:$D$21</c:f>
              <c:numCache>
                <c:formatCode>"$"#,##0.00_);[Red]\("$"#,##0.00\)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9-4C74-A979-E17B58DC7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5897560"/>
        <c:axId val="635898872"/>
      </c:barChart>
      <c:catAx>
        <c:axId val="635897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Courier New" panose="02070309020205020404" pitchFamily="49" charset="0"/>
              </a:defRPr>
            </a:pPr>
            <a:endParaRPr lang="en-US"/>
          </a:p>
        </c:txPr>
        <c:crossAx val="635898872"/>
        <c:crosses val="autoZero"/>
        <c:auto val="1"/>
        <c:lblAlgn val="ctr"/>
        <c:lblOffset val="100"/>
        <c:noMultiLvlLbl val="0"/>
      </c:catAx>
      <c:valAx>
        <c:axId val="635898872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635897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  <a:cs typeface="Courier New" panose="02070309020205020404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10936132983378"/>
          <c:y val="0.20714238845144356"/>
          <c:w val="0.79677952755905512"/>
          <c:h val="0.72733052974444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summary'!$C$24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&amp; loss summary'!$B$25:$B$26</c:f>
              <c:strCache>
                <c:ptCount val="2"/>
                <c:pt idx="0">
                  <c:v>Total Income</c:v>
                </c:pt>
                <c:pt idx="1">
                  <c:v>Total Expenses</c:v>
                </c:pt>
              </c:strCache>
            </c:strRef>
          </c:cat>
          <c:val>
            <c:numRef>
              <c:f>'Profit &amp; loss summary'!$C$25:$C$26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19150.849999999999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8-4221-AF2B-27AF15B572CB}"/>
            </c:ext>
          </c:extLst>
        </c:ser>
        <c:ser>
          <c:idx val="1"/>
          <c:order val="1"/>
          <c:tx>
            <c:strRef>
              <c:f>'Profit &amp; loss summary'!$D$24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&amp; loss summary'!$B$25:$B$26</c:f>
              <c:strCache>
                <c:ptCount val="2"/>
                <c:pt idx="0">
                  <c:v>Total Income</c:v>
                </c:pt>
                <c:pt idx="1">
                  <c:v>Total Expenses</c:v>
                </c:pt>
              </c:strCache>
            </c:strRef>
          </c:cat>
          <c:val>
            <c:numRef>
              <c:f>'Profit &amp; loss summary'!$D$25:$D$26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23174.799999999999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8-4221-AF2B-27AF15B5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434304232"/>
        <c:axId val="434304888"/>
      </c:barChart>
      <c:catAx>
        <c:axId val="434304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04888"/>
        <c:crosses val="autoZero"/>
        <c:auto val="1"/>
        <c:lblAlgn val="ctr"/>
        <c:lblOffset val="100"/>
        <c:noMultiLvlLbl val="0"/>
      </c:catAx>
      <c:valAx>
        <c:axId val="434304888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43430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1430493064627981E-3"/>
          <c:w val="0.33008651355748991"/>
          <c:h val="0.14528797408714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82009067048437"/>
          <c:y val="0.15729265091863517"/>
          <c:w val="0.72437922532410726"/>
          <c:h val="0.8010406824146981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'Profit &amp; loss summary'!$B$26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Estimated</c:v>
              </c:pt>
              <c:pt idx="1">
                <c:v> Actual</c:v>
              </c:pt>
            </c:strLit>
          </c:cat>
          <c:val>
            <c:numRef>
              <c:f>'Profit &amp; loss summary'!$C$26:$D$26</c:f>
              <c:numCache>
                <c:formatCode>"$"#,##0.00_);[Red]\("$"#,##0.00\)</c:formatCode>
                <c:ptCount val="2"/>
                <c:pt idx="0">
                  <c:v>19150.849999999999</c:v>
                </c:pt>
                <c:pt idx="1">
                  <c:v>23174.799999999999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1-4B4A-87BE-3194ED4306B9}"/>
            </c:ext>
          </c:extLst>
        </c:ser>
        <c:ser>
          <c:idx val="1"/>
          <c:order val="1"/>
          <c:tx>
            <c:strRef>
              <c:f>'Profit &amp; loss summary'!$B$27</c:f>
              <c:strCache>
                <c:ptCount val="1"/>
                <c:pt idx="0">
                  <c:v>Profit or (Loss)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Estimated</c:v>
              </c:pt>
              <c:pt idx="1">
                <c:v> Actual</c:v>
              </c:pt>
            </c:strLit>
          </c:cat>
          <c:val>
            <c:numRef>
              <c:f>'Profit &amp; loss summary'!$C$27:$D$27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1-4B4A-87BE-3194ED430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24823688"/>
        <c:axId val="424822048"/>
      </c:barChart>
      <c:catAx>
        <c:axId val="424823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22048"/>
        <c:crosses val="autoZero"/>
        <c:auto val="1"/>
        <c:lblAlgn val="ctr"/>
        <c:lblOffset val="100"/>
        <c:noMultiLvlLbl val="0"/>
      </c:catAx>
      <c:valAx>
        <c:axId val="42482204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42482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5557742782152229E-3"/>
          <c:w val="0.58764067961344257"/>
          <c:h val="0.14536622026393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350928</xdr:colOff>
      <xdr:row>2</xdr:row>
      <xdr:rowOff>142254</xdr:rowOff>
    </xdr:from>
    <xdr:to>
      <xdr:col>7</xdr:col>
      <xdr:colOff>1258321</xdr:colOff>
      <xdr:row>3</xdr:row>
      <xdr:rowOff>516247</xdr:rowOff>
    </xdr:to>
    <xdr:pic>
      <xdr:nvPicPr>
        <xdr:cNvPr id="3" name="Graphic 2" descr="Deciduous tree outline">
          <a:extLst>
            <a:ext uri="{FF2B5EF4-FFF2-40B4-BE49-F238E27FC236}">
              <a16:creationId xmlns:a16="http://schemas.microsoft.com/office/drawing/2014/main" id="{07C57C56-3C15-2D3B-5566-B726295D5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0095003" y="370854"/>
          <a:ext cx="907393" cy="907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28576</xdr:rowOff>
    </xdr:from>
    <xdr:to>
      <xdr:col>7</xdr:col>
      <xdr:colOff>0</xdr:colOff>
      <xdr:row>15</xdr:row>
      <xdr:rowOff>0</xdr:rowOff>
    </xdr:to>
    <xdr:graphicFrame macro="">
      <xdr:nvGraphicFramePr>
        <xdr:cNvPr id="4" name="Chart 3" descr="Bar chart summarizing actual expenses in descending orde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38100</xdr:rowOff>
    </xdr:from>
    <xdr:to>
      <xdr:col>7</xdr:col>
      <xdr:colOff>0</xdr:colOff>
      <xdr:row>22</xdr:row>
      <xdr:rowOff>0</xdr:rowOff>
    </xdr:to>
    <xdr:graphicFrame macro="">
      <xdr:nvGraphicFramePr>
        <xdr:cNvPr id="5" name="Chart 4" descr="Bar chart summarizing actual income in descending orde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114299</xdr:colOff>
      <xdr:row>29</xdr:row>
      <xdr:rowOff>0</xdr:rowOff>
    </xdr:from>
    <xdr:to>
      <xdr:col>6</xdr:col>
      <xdr:colOff>1647824</xdr:colOff>
      <xdr:row>33</xdr:row>
      <xdr:rowOff>304799</xdr:rowOff>
    </xdr:to>
    <xdr:graphicFrame macro="">
      <xdr:nvGraphicFramePr>
        <xdr:cNvPr id="2" name="Chart 1" descr="Bar chart comparing estimated and actual costs for income and expense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3" name="Chart 2" descr="Bar chart comparing Expenses to Profit (Loss) ratio of estimate vs actual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544512</xdr:colOff>
      <xdr:row>2</xdr:row>
      <xdr:rowOff>139700</xdr:rowOff>
    </xdr:from>
    <xdr:to>
      <xdr:col>6</xdr:col>
      <xdr:colOff>1455737</xdr:colOff>
      <xdr:row>3</xdr:row>
      <xdr:rowOff>508000</xdr:rowOff>
    </xdr:to>
    <xdr:pic>
      <xdr:nvPicPr>
        <xdr:cNvPr id="8" name="Graphic 7" descr="Piggy Bank with solid fill">
          <a:extLst>
            <a:ext uri="{FF2B5EF4-FFF2-40B4-BE49-F238E27FC236}">
              <a16:creationId xmlns:a16="http://schemas.microsoft.com/office/drawing/2014/main" id="{AA5A793C-48F8-A052-27E4-A4707DE8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8764587" y="368300"/>
          <a:ext cx="911225" cy="9112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teExpenses" displayName="SiteExpenses" ref="B13:D17" totalsRowCount="1" headerRowDxfId="155" dataDxfId="154" totalsRowDxfId="153">
  <autoFilter ref="B13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Registration" totalsRowLabel="Total" dataDxfId="151" totalsRowDxfId="152"/>
    <tableColumn id="2" xr3:uid="{00000000-0010-0000-0000-000002000000}" name="HST &amp; Service Charge" totalsRowFunction="sum" dataDxfId="149" totalsRowDxfId="150">
      <calculatedColumnFormula>SiteExpenses[[#This Row],[Total/ Person]]*0.17</calculatedColumnFormula>
    </tableColumn>
    <tableColumn id="3" xr3:uid="{00000000-0010-0000-0000-000003000000}" name="Total/ Person" totalsRowFunction="sum" dataDxfId="147" totalsRowDxfId="148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Site Expenses in this table. Total is auto calculated at the en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freshmentsExpenses" displayName="RefreshmentsExpenses" ref="B29:D32" totalsRowCount="1" headerRowDxfId="146" dataDxfId="145" totalsRowDxfId="144">
  <autoFilter ref="B29:D31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100-000001000000}" name="Internal Funding" totalsRowLabel="Total" dataDxfId="142" totalsRowDxfId="143"/>
    <tableColumn id="2" xr3:uid="{00000000-0010-0000-0100-000002000000}" name="Estimated" totalsRowFunction="sum" dataDxfId="140" totalsRowDxfId="141"/>
    <tableColumn id="3" xr3:uid="{00000000-0010-0000-0100-000003000000}" name="Actual" totalsRowFunction="sum" dataDxfId="138" totalsRowDxfId="139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Refreshments Expenses in this table. Total is auto calculated at the en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ecorationsExpenses" displayName="DecorationsExpenses" ref="B19:D27" totalsRowCount="1" headerRowDxfId="137" dataDxfId="136" totalsRowDxfId="135">
  <autoFilter ref="B19:D26" xr:uid="{00000000-0009-0000-0100-000004000000}">
    <filterColumn colId="0" hiddenButton="1"/>
    <filterColumn colId="1" hiddenButton="1"/>
    <filterColumn colId="2" hiddenButton="1"/>
  </autoFilter>
  <tableColumns count="3">
    <tableColumn id="1" xr3:uid="{00000000-0010-0000-0200-000001000000}" name="External Funding" totalsRowLabel="Total" dataDxfId="133" totalsRowDxfId="134"/>
    <tableColumn id="2" xr3:uid="{00000000-0010-0000-0200-000002000000}" name="Estimated" totalsRowFunction="sum" dataDxfId="131" totalsRowDxfId="132"/>
    <tableColumn id="3" xr3:uid="{00000000-0010-0000-0200-000003000000}" name="Actual" totalsRowFunction="sum" dataDxfId="129" totalsRowDxfId="130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rogramExpenses" displayName="ProgramExpenses" ref="F7:H17" totalsRowCount="1" headerRowDxfId="128" dataDxfId="127" totalsRowDxfId="126">
  <autoFilter ref="F7:H16" xr:uid="{00000000-0009-0000-0100-000005000000}">
    <filterColumn colId="0" hiddenButton="1"/>
    <filterColumn colId="1" hiddenButton="1"/>
    <filterColumn colId="2" hiddenButton="1"/>
  </autoFilter>
  <tableColumns count="3">
    <tableColumn id="1" xr3:uid="{00000000-0010-0000-0300-000001000000}" name="Promotional Materials" totalsRowLabel="Total" dataDxfId="124" totalsRowDxfId="125"/>
    <tableColumn id="2" xr3:uid="{00000000-0010-0000-0300-000002000000}" name="Price Per Unit (PPU)" totalsRowFunction="sum" dataDxfId="122" totalsRowDxfId="123"/>
    <tableColumn id="3" xr3:uid="{00000000-0010-0000-0300-000003000000}" name="Total Cost" totalsRowFunction="sum" dataDxfId="120" totalsRowDxfId="121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rogram Expenses in this table. Total is auto calculated at the en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PublicityExpenses" displayName="PublicityExpenses" ref="F19:H23" totalsRowCount="1" headerRowDxfId="119" dataDxfId="118" totalsRowDxfId="117">
  <autoFilter ref="F19:H22" xr:uid="{00000000-0009-0000-0100-000006000000}">
    <filterColumn colId="0" hiddenButton="1"/>
    <filterColumn colId="1" hiddenButton="1"/>
    <filterColumn colId="2" hiddenButton="1"/>
  </autoFilter>
  <tableColumns count="3">
    <tableColumn id="1" xr3:uid="{00000000-0010-0000-0400-000001000000}" name="Venue" totalsRowLabel="Total" dataDxfId="115" totalsRowDxfId="116"/>
    <tableColumn id="2" xr3:uid="{00000000-0010-0000-0400-000002000000}" name="Estimated" totalsRowFunction="sum" dataDxfId="113" totalsRowDxfId="114"/>
    <tableColumn id="3" xr3:uid="{00000000-0010-0000-0400-000003000000}" name="Total Cost" totalsRowFunction="sum" dataDxfId="111" totalsRowDxfId="112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ublicity Expenses in this table. Total is auto calculated at the en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rizesExpenses" displayName="PrizesExpenses" ref="F38:H49" totalsRowCount="1" headerRowDxfId="110" dataDxfId="109" totalsRowDxfId="108">
  <autoFilter ref="F38:H48" xr:uid="{00000000-0009-0000-0100-000007000000}">
    <filterColumn colId="0" hiddenButton="1"/>
    <filterColumn colId="1" hiddenButton="1"/>
    <filterColumn colId="2" hiddenButton="1"/>
  </autoFilter>
  <tableColumns count="3">
    <tableColumn id="1" xr3:uid="{00000000-0010-0000-0500-000001000000}" name="Awards" totalsRowLabel="Total" dataDxfId="106" totalsRowDxfId="107"/>
    <tableColumn id="2" xr3:uid="{00000000-0010-0000-0500-000002000000}" name="Amount" totalsRowFunction="sum" dataDxfId="104" totalsRowDxfId="105"/>
    <tableColumn id="3" xr3:uid="{00000000-0010-0000-0500-000003000000}" name="Total " totalsRowFunction="custom" dataDxfId="102" totalsRowDxfId="103">
      <totalsRowFormula>SUBTOTAL(109,PrizesExpenses[Amount])</totalsRowFormula>
    </tableColumn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rizes Expenses in this table. Total is auto calculated at the en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iscellaneousExpenses" displayName="MiscellaneousExpenses" ref="F60:H74" totalsRowCount="1" headerRowDxfId="101" dataDxfId="100" totalsRowDxfId="99">
  <autoFilter ref="F60:H73" xr:uid="{00000000-0009-0000-0100-000008000000}">
    <filterColumn colId="0" hiddenButton="1"/>
    <filterColumn colId="1" hiddenButton="1"/>
    <filterColumn colId="2" hiddenButton="1"/>
  </autoFilter>
  <tableColumns count="3">
    <tableColumn id="1" xr3:uid="{00000000-0010-0000-0600-000001000000}" name="Banquet" totalsRowLabel="Total" dataDxfId="97" totalsRowDxfId="98"/>
    <tableColumn id="2" xr3:uid="{00000000-0010-0000-0600-000002000000}" name="Cost" totalsRowFunction="sum" dataDxfId="95" totalsRowDxfId="96"/>
    <tableColumn id="3" xr3:uid="{00000000-0010-0000-0600-000003000000}" name="Total" totalsRowFunction="sum" dataDxfId="93" totalsRowDxfId="94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Miscellaneous Expenses in this table. Total is auto calculated at the en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912B7C-02F6-44B7-A722-BD8D8AF8D5C8}" name="RefreshmentsExpenses16" displayName="RefreshmentsExpenses16" ref="B34:D41" totalsRowCount="1" headerRowDxfId="92" dataDxfId="91" totalsRowDxfId="90">
  <autoFilter ref="B34:D40" xr:uid="{93912B7C-02F6-44B7-A722-BD8D8AF8D5C8}"/>
  <tableColumns count="3">
    <tableColumn id="1" xr3:uid="{87029A99-2433-45F3-9D0C-44CCFC59DB76}" name="Sponsorships" totalsRowLabel="Total" dataDxfId="88" totalsRowDxfId="89"/>
    <tableColumn id="2" xr3:uid="{82102725-8E94-4073-9F6D-DEC781C229E0}" name="Estimated" totalsRowFunction="sum" dataDxfId="86" totalsRowDxfId="87"/>
    <tableColumn id="3" xr3:uid="{31C98D4C-8B51-4BFE-A682-368BAC273CA4}" name="Actual" totalsRowFunction="sum" dataDxfId="84" totalsRowDxfId="85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Refreshments Expenses in this table. Total is auto calculated at the en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D4AB94-CB34-4CCB-8D16-A36E2D4597C9}" name="DecorationsExpenses17" displayName="DecorationsExpenses17" ref="F51:H58" totalsRowCount="1" headerRowDxfId="83" dataDxfId="82" totalsRowDxfId="81">
  <autoFilter ref="F51:H57" xr:uid="{FCD4AB94-CB34-4CCB-8D16-A36E2D4597C9}"/>
  <tableColumns count="3">
    <tableColumn id="1" xr3:uid="{6E88BAFD-D7FF-44E1-AD61-2718A4F88B63}" name="Outings, workshops, and events" totalsRowLabel="Total" dataDxfId="79" totalsRowDxfId="80"/>
    <tableColumn id="2" xr3:uid="{2CDB791F-CE50-4DB3-B9EA-231FC8D37594}" name="Estimated" totalsRowFunction="sum" dataDxfId="77" totalsRowDxfId="78"/>
    <tableColumn id="3" xr3:uid="{4E8285EF-A447-42E5-A1DF-3C1EEF346FE1}" name="Actual" totalsRowFunction="sum" dataDxfId="75" totalsRowDxfId="76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BF0A44-FF28-4CCE-8755-834913031665}" name="DecorationsExpenses1718" displayName="DecorationsExpenses1718" ref="F25:H36" totalsRowCount="1" headerRowDxfId="74" dataDxfId="73" totalsRowDxfId="72">
  <autoFilter ref="F25:H35" xr:uid="{B5BF0A44-FF28-4CCE-8755-834913031665}"/>
  <tableColumns count="3">
    <tableColumn id="1" xr3:uid="{F2C7477E-A103-462D-9F7C-510221A9621C}" name="Catering Services" totalsRowLabel="Total" dataDxfId="70" totalsRowDxfId="71"/>
    <tableColumn id="2" xr3:uid="{36E7B46A-0A26-458C-B78B-98B344768CF3}" name="Estimated" totalsRowFunction="sum" dataDxfId="68" totalsRowDxfId="69"/>
    <tableColumn id="3" xr3:uid="{BD7A1235-1809-4C38-A6E0-2FDCE1725978}" name="Total Cost" totalsRowFunction="sum" dataDxfId="66" totalsRowDxfId="67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FCAFA2-0A2D-45E1-8CD7-C21E40C4C8DC}" name="RefreshmentsExpenses1610" displayName="RefreshmentsExpenses1610" ref="B43:D50" totalsRowCount="1" headerRowDxfId="65" dataDxfId="64" totalsRowDxfId="63">
  <autoFilter ref="B43:D49" xr:uid="{96FCAFA2-0A2D-45E1-8CD7-C21E40C4C8DC}"/>
  <tableColumns count="3">
    <tableColumn id="1" xr3:uid="{EF4447B6-0880-43EB-81E8-CE8724E00EEF}" name="Donations" totalsRowLabel="Total" dataDxfId="61" totalsRowDxfId="62"/>
    <tableColumn id="2" xr3:uid="{4313955B-181D-4D0B-96E2-037C9B6B51E8}" name="Estimated" totalsRowFunction="sum" dataDxfId="59" totalsRowDxfId="60"/>
    <tableColumn id="3" xr3:uid="{51C4944D-A787-4997-9243-5049B4B07472}" name="Actual" totalsRowFunction="sum" dataDxfId="57" totalsRowDxfId="58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Refreshments Expenses in this table. Total is auto calculated at the en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E6B9CD-4B14-4A87-8B2F-8D6879D7DBFF}" name="DecorationsExpenses1711" displayName="DecorationsExpenses1711" ref="F76:H82" totalsRowCount="1" headerRowDxfId="56" dataDxfId="55" totalsRowDxfId="54">
  <autoFilter ref="F76:H81" xr:uid="{E7E6B9CD-4B14-4A87-8B2F-8D6879D7DBFF}"/>
  <tableColumns count="3">
    <tableColumn id="1" xr3:uid="{81F3514E-0817-48E3-B1D2-D91D2E336943}" name="Plenary 1 - Nancy Chen (Evolution)" totalsRowLabel="Total" dataDxfId="52" totalsRowDxfId="53"/>
    <tableColumn id="2" xr3:uid="{67031DBD-3685-4168-A702-88A4D3ECA909}" name="Cost" totalsRowFunction="sum" dataDxfId="50" totalsRowDxfId="51"/>
    <tableColumn id="3" xr3:uid="{8B743057-B57C-41F1-A9C8-B1469CB3144C}" name="Total" totalsRowFunction="sum" dataDxfId="48" totalsRowDxfId="49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4F8720-B03A-4319-A8B5-373677C222DC}" name="DecorationsExpenses171112" displayName="DecorationsExpenses171112" ref="F84:H90" totalsRowCount="1" headerRowDxfId="47" dataDxfId="46" totalsRowDxfId="45">
  <autoFilter ref="F84:H89" xr:uid="{B44F8720-B03A-4319-A8B5-373677C222DC}"/>
  <tableColumns count="3">
    <tableColumn id="1" xr3:uid="{5F8C4CA1-817F-481E-95DF-3F0E175DE925}" name="Plenary 2 - Jesse Popp (Ecology)" totalsRowLabel="Total" dataDxfId="43" totalsRowDxfId="44"/>
    <tableColumn id="2" xr3:uid="{AE5772F4-3EFB-472B-8665-EF9AE460DA62}" name="Cost" totalsRowFunction="sum" dataDxfId="41" totalsRowDxfId="42"/>
    <tableColumn id="3" xr3:uid="{AEE8D5BC-CB5F-4121-A0E9-ED101CB89846}" name="Total" totalsRowFunction="sum" dataDxfId="39" totalsRowDxfId="40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19B299-4542-40BE-B04E-6E50BABCF440}" name="DecorationsExpenses171113" displayName="DecorationsExpenses171113" ref="F92:H98" totalsRowCount="1" headerRowDxfId="38" dataDxfId="37" totalsRowDxfId="36">
  <autoFilter ref="F92:H97" xr:uid="{B519B299-4542-40BE-B04E-6E50BABCF440}"/>
  <tableColumns count="3">
    <tableColumn id="1" xr3:uid="{C9FBEFF2-4717-4468-AA87-C0EA77D24333}" name="Plenary 3 - Melanie (Evolution)" totalsRowLabel="Total" dataDxfId="34" totalsRowDxfId="35"/>
    <tableColumn id="2" xr3:uid="{44570DD9-95D1-429B-B9DE-EDB5FA03F3ED}" name="Cost" totalsRowFunction="sum" dataDxfId="32" totalsRowDxfId="33"/>
    <tableColumn id="3" xr3:uid="{F66216AB-D060-40E3-9949-7613FFB1C05D}" name="Total" totalsRowFunction="sum" dataDxfId="30" totalsRowDxfId="31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ExpensesSummary" displayName="ExpensesSummary" ref="B7:D15" totalsRowCount="1" headerRowDxfId="29" dataDxfId="28" totalsRowDxfId="27" headerRowBorderDxfId="26">
  <tableColumns count="3">
    <tableColumn id="1" xr3:uid="{00000000-0010-0000-0B00-000001000000}" name="Expenses summary" totalsRowLabel="Total" dataDxfId="24" totalsRowDxfId="25"/>
    <tableColumn id="2" xr3:uid="{00000000-0010-0000-0B00-000002000000}" name="Estimated" totalsRowFunction="sum" dataDxfId="22" totalsRowDxfId="23"/>
    <tableColumn id="3" xr3:uid="{00000000-0010-0000-0B00-000003000000}" name="Total" totalsRowFunction="sum" dataDxfId="20" totalsRowDxfId="21"/>
  </tableColumns>
  <tableStyleInfo name="TableStyleLight13 2 2 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ncomeSummary" displayName="IncomeSummary" ref="B17:D22" totalsRowCount="1" headerRowDxfId="19" dataDxfId="18" totalsRowDxfId="17" headerRowBorderDxfId="16">
  <tableColumns count="3">
    <tableColumn id="1" xr3:uid="{00000000-0010-0000-0C00-000001000000}" name="Income summary" totalsRowLabel="Total" dataDxfId="14" totalsRowDxfId="15"/>
    <tableColumn id="2" xr3:uid="{00000000-0010-0000-0C00-000002000000}" name="Estimated" totalsRowFunction="sum" dataDxfId="12" totalsRowDxfId="13"/>
    <tableColumn id="3" xr3:uid="{00000000-0010-0000-0C00-000003000000}" name="Total" totalsRowFunction="sum" dataDxfId="10" totalsRowDxfId="11"/>
  </tableColumns>
  <tableStyleInfo name="TableStyleLight13 2 2 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rofitAndLoss" displayName="ProfitAndLoss" ref="B24:D27" totalsRowCount="1" headerRowDxfId="9" dataDxfId="8" totalsRowDxfId="7" headerRowBorderDxfId="6">
  <tableColumns count="3">
    <tableColumn id="1" xr3:uid="{00000000-0010-0000-0D00-000001000000}" name="Profit &amp; loss summary" totalsRowLabel="Profit or (Loss)" dataDxfId="4" totalsRowDxfId="5"/>
    <tableColumn id="2" xr3:uid="{00000000-0010-0000-0D00-000002000000}" name="Estimated" totalsRowFunction="custom" dataDxfId="2" totalsRowDxfId="3">
      <totalsRowFormula>C25-C26</totalsRowFormula>
    </tableColumn>
    <tableColumn id="3" xr3:uid="{00000000-0010-0000-0D00-000003000000}" name="Actual" totalsRowFunction="custom" dataDxfId="0" totalsRowDxfId="1">
      <totalsRowFormula>D25-D26</totalsRowFormula>
    </tableColumn>
  </tableColumns>
  <tableStyleInfo name="TableStyleLight13 2 2 2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5-12-03T21:11:15.99" personId="{00000000-0000-0000-0000-000000000000}" id="{D6E72B38-DDDB-48DE-AF9F-0D9109A03BCD}" done="1">
    <text>Make break down with HST and 4% service charge and base cost</text>
  </threadedComment>
  <threadedComment ref="F20" dT="2025-12-03T21:10:48.60" personId="{00000000-0000-0000-0000-000000000000}" id="{A49C04FF-6D8D-46F2-8DA4-3CA61271F04C}" done="1">
    <text>If this is the conference registration set-up and maintenance fee, I'd call it that.</text>
  </threadedComment>
  <threadedComment ref="B34" dT="2025-12-02T21:18:07.26" personId="{00000000-0000-0000-0000-000000000000}" id="{15F272A6-0F0A-4C54-AF3C-729CBBE9B0B3}" done="1">
    <text xml:space="preserve">Maybe: include a column/section for donations specifically. Overall, the sheet looks great! 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1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" Type="http://schemas.openxmlformats.org/officeDocument/2006/relationships/drawing" Target="../drawings/drawing1.xml"/><Relationship Id="rId16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10" Type="http://schemas.openxmlformats.org/officeDocument/2006/relationships/table" Target="../tables/table7.xml"/><Relationship Id="rId19" Type="http://schemas.microsoft.com/office/2017/10/relationships/threadedComment" Target="../threadedComments/threadedComment1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B1:I98"/>
  <sheetViews>
    <sheetView showGridLines="0" tabSelected="1" zoomScaleNormal="100" workbookViewId="0">
      <selection activeCell="B44" sqref="B44"/>
    </sheetView>
  </sheetViews>
  <sheetFormatPr defaultColWidth="9.140625" defaultRowHeight="20.25" customHeight="1"/>
  <cols>
    <col min="1" max="1" width="1.7109375" style="2" customWidth="1"/>
    <col min="2" max="2" width="49.42578125" style="1" customWidth="1"/>
    <col min="3" max="5" width="23.7109375" style="2" customWidth="1"/>
    <col min="6" max="6" width="36.140625" style="1" customWidth="1"/>
    <col min="7" max="8" width="23.7109375" style="2" customWidth="1"/>
    <col min="9" max="9" width="1.7109375" style="2" customWidth="1"/>
    <col min="10" max="11" width="9.140625" style="2" customWidth="1"/>
    <col min="12" max="16384" width="9.140625" style="2"/>
  </cols>
  <sheetData>
    <row r="1" spans="2:9" ht="9" customHeight="1">
      <c r="I1" s="2" t="s">
        <v>0</v>
      </c>
    </row>
    <row r="2" spans="2:9" ht="9" customHeight="1">
      <c r="B2" s="32"/>
      <c r="C2" s="33"/>
      <c r="D2" s="33"/>
      <c r="E2" s="33"/>
      <c r="F2" s="32"/>
      <c r="G2" s="33"/>
      <c r="H2" s="33"/>
    </row>
    <row r="3" spans="2:9" s="15" customFormat="1" ht="42" customHeight="1">
      <c r="B3" s="34"/>
      <c r="C3" s="35"/>
      <c r="D3" s="40" t="s">
        <v>1</v>
      </c>
      <c r="E3" s="39"/>
      <c r="F3" s="35"/>
      <c r="G3" s="35"/>
      <c r="H3" s="35"/>
    </row>
    <row r="4" spans="2:9" s="16" customFormat="1" ht="42" customHeight="1">
      <c r="B4" s="37" t="s">
        <v>2</v>
      </c>
      <c r="C4" s="38"/>
      <c r="D4" s="36"/>
      <c r="E4" s="36"/>
      <c r="F4" s="36"/>
      <c r="G4" s="36"/>
      <c r="H4" s="36"/>
    </row>
    <row r="5" spans="2:9" ht="18" customHeight="1">
      <c r="B5" s="32"/>
      <c r="C5" s="33"/>
      <c r="D5" s="33"/>
      <c r="E5" s="33"/>
      <c r="F5" s="32"/>
      <c r="G5" s="33"/>
      <c r="H5" s="33"/>
    </row>
    <row r="6" spans="2:9" ht="27.75" customHeight="1">
      <c r="B6" s="2"/>
      <c r="F6" s="2"/>
    </row>
    <row r="7" spans="2:9" ht="28.35" customHeight="1">
      <c r="B7" s="52" t="s">
        <v>3</v>
      </c>
      <c r="C7" s="30" t="s">
        <v>4</v>
      </c>
      <c r="D7" s="31" t="s">
        <v>5</v>
      </c>
      <c r="F7" s="29" t="s">
        <v>6</v>
      </c>
      <c r="G7" s="14" t="s">
        <v>7</v>
      </c>
      <c r="H7" s="14" t="s">
        <v>8</v>
      </c>
    </row>
    <row r="8" spans="2:9" ht="28.35" customHeight="1">
      <c r="B8" s="52"/>
      <c r="C8" s="17">
        <f>SiteExpenses[[#Totals],[HST &amp; Service Charge]]+DecorationsExpenses[[#Totals],[Estimated]]+PublicityExpenses[[#Totals],[Estimated]]+MiscellaneousExpenses[[#Totals],[Cost]]+RefreshmentsExpenses[[#Totals],[Estimated]]+ProgramExpenses[[#Totals],[Price Per Unit (PPU)]]+PrizesExpenses[[#Totals],[Amount]]</f>
        <v>19150.849999999999</v>
      </c>
      <c r="D8" s="17">
        <f>SiteExpenses[[#Totals],[Total/ Person]]+DecorationsExpenses[[#Totals],[Actual]]+PublicityExpenses[[#Totals],[Total Cost]]+MiscellaneousExpenses[[#Totals],[Total]]+RefreshmentsExpenses[[#Totals],[Actual]]+ProgramExpenses[[#Totals],[Total Cost]]+PrizesExpenses[[#Totals],[Total ]]</f>
        <v>23174.799999999999</v>
      </c>
      <c r="E8" s="18"/>
      <c r="F8" s="1" t="s">
        <v>9</v>
      </c>
      <c r="G8" s="9">
        <v>13</v>
      </c>
      <c r="H8" s="19">
        <v>1300</v>
      </c>
    </row>
    <row r="9" spans="2:9" ht="28.35" customHeight="1">
      <c r="B9" s="52" t="s">
        <v>10</v>
      </c>
      <c r="C9" s="30" t="s">
        <v>11</v>
      </c>
      <c r="D9" s="31" t="s">
        <v>12</v>
      </c>
      <c r="F9" s="1" t="s">
        <v>13</v>
      </c>
      <c r="G9" s="9"/>
      <c r="H9" s="19"/>
    </row>
    <row r="10" spans="2:9" ht="28.35" customHeight="1">
      <c r="B10" s="52"/>
      <c r="C10" s="17">
        <v>15264</v>
      </c>
      <c r="D10" s="17"/>
      <c r="F10" s="1" t="s">
        <v>14</v>
      </c>
      <c r="G10" s="9"/>
      <c r="H10" s="19"/>
    </row>
    <row r="11" spans="2:9" ht="28.35" customHeight="1">
      <c r="F11" s="1" t="s">
        <v>15</v>
      </c>
      <c r="G11" s="9"/>
      <c r="H11" s="19"/>
    </row>
    <row r="12" spans="2:9" ht="28.35" customHeight="1">
      <c r="F12" s="1" t="s">
        <v>16</v>
      </c>
      <c r="G12" s="9"/>
      <c r="H12" s="19"/>
    </row>
    <row r="13" spans="2:9" ht="28.35" customHeight="1">
      <c r="B13" s="29" t="s">
        <v>17</v>
      </c>
      <c r="C13" s="14" t="s">
        <v>18</v>
      </c>
      <c r="D13" s="14" t="s">
        <v>19</v>
      </c>
      <c r="F13" s="1" t="s">
        <v>20</v>
      </c>
      <c r="G13" s="9">
        <v>12</v>
      </c>
      <c r="H13" s="19">
        <v>1200</v>
      </c>
    </row>
    <row r="14" spans="2:9" ht="28.35" customHeight="1">
      <c r="B14" s="20" t="s">
        <v>21</v>
      </c>
      <c r="C14" s="9">
        <f>SiteExpenses[[#This Row],[Total/ Person]]*0.17</f>
        <v>32.300000000000004</v>
      </c>
      <c r="D14" s="19">
        <v>190</v>
      </c>
      <c r="F14" s="1" t="s">
        <v>22</v>
      </c>
      <c r="G14" s="9">
        <v>18</v>
      </c>
      <c r="H14" s="19">
        <v>310</v>
      </c>
    </row>
    <row r="15" spans="2:9" ht="28.35" customHeight="1">
      <c r="B15" s="1" t="s">
        <v>23</v>
      </c>
      <c r="C15" s="9">
        <f>SiteExpenses[[#This Row],[Total/ Person]]*0.17</f>
        <v>38.25</v>
      </c>
      <c r="D15" s="19">
        <v>225</v>
      </c>
      <c r="F15" s="1" t="s">
        <v>24</v>
      </c>
      <c r="G15" s="9">
        <v>18</v>
      </c>
      <c r="H15" s="19">
        <v>450</v>
      </c>
    </row>
    <row r="16" spans="2:9" ht="28.35" customHeight="1">
      <c r="B16" s="1" t="s">
        <v>25</v>
      </c>
      <c r="C16" s="9">
        <f>SiteExpenses[[#This Row],[Total/ Person]]*0.17</f>
        <v>42.5</v>
      </c>
      <c r="D16" s="19">
        <v>250</v>
      </c>
      <c r="F16" s="1" t="s">
        <v>26</v>
      </c>
      <c r="G16" s="9"/>
      <c r="H16" s="19"/>
    </row>
    <row r="17" spans="2:8" ht="28.35" customHeight="1">
      <c r="B17" s="1" t="s">
        <v>27</v>
      </c>
      <c r="C17" s="9">
        <f>SUBTOTAL(109,SiteExpenses[HST &amp; Service Charge])</f>
        <v>113.05000000000001</v>
      </c>
      <c r="D17" s="19">
        <f>SUBTOTAL(109,SiteExpenses[Total/ Person])</f>
        <v>665</v>
      </c>
      <c r="F17" s="1" t="s">
        <v>27</v>
      </c>
      <c r="G17" s="9">
        <f>SUBTOTAL(109,ProgramExpenses[Price Per Unit (PPU)])</f>
        <v>61</v>
      </c>
      <c r="H17" s="19">
        <f>SUBTOTAL(109,ProgramExpenses[Total Cost])</f>
        <v>3260</v>
      </c>
    </row>
    <row r="18" spans="2:8" ht="28.35" customHeight="1">
      <c r="B18" s="2"/>
      <c r="F18" s="2"/>
    </row>
    <row r="19" spans="2:8" ht="28.35" customHeight="1">
      <c r="B19" s="29" t="s">
        <v>28</v>
      </c>
      <c r="C19" s="14" t="s">
        <v>4</v>
      </c>
      <c r="D19" s="14" t="s">
        <v>5</v>
      </c>
      <c r="F19" s="29" t="s">
        <v>29</v>
      </c>
      <c r="G19" s="14" t="s">
        <v>4</v>
      </c>
      <c r="H19" s="14" t="s">
        <v>8</v>
      </c>
    </row>
    <row r="20" spans="2:8" ht="28.35" customHeight="1">
      <c r="B20" s="1" t="s">
        <v>30</v>
      </c>
      <c r="C20" s="9">
        <v>6000</v>
      </c>
      <c r="D20" s="9"/>
      <c r="F20" s="1" t="s">
        <v>31</v>
      </c>
      <c r="G20" s="9">
        <v>500</v>
      </c>
      <c r="H20" s="19"/>
    </row>
    <row r="21" spans="2:8" ht="28.35" customHeight="1">
      <c r="B21" s="1" t="s">
        <v>32</v>
      </c>
      <c r="C21" s="9"/>
      <c r="D21" s="9"/>
      <c r="F21" s="1" t="s">
        <v>33</v>
      </c>
      <c r="G21" s="9"/>
      <c r="H21" s="19"/>
    </row>
    <row r="22" spans="2:8" ht="28.35" customHeight="1">
      <c r="B22" s="1" t="s">
        <v>34</v>
      </c>
      <c r="C22" s="9"/>
      <c r="D22" s="9"/>
      <c r="F22" s="1" t="s">
        <v>35</v>
      </c>
      <c r="G22" s="9"/>
      <c r="H22" s="19"/>
    </row>
    <row r="23" spans="2:8" ht="28.35" customHeight="1">
      <c r="B23" s="1" t="s">
        <v>36</v>
      </c>
      <c r="C23" s="9"/>
      <c r="D23" s="9"/>
      <c r="F23" s="1" t="s">
        <v>27</v>
      </c>
      <c r="G23" s="9">
        <f>SUBTOTAL(109,PublicityExpenses[Estimated])</f>
        <v>500</v>
      </c>
      <c r="H23" s="19">
        <f>SUBTOTAL(109,PublicityExpenses[Total Cost])</f>
        <v>0</v>
      </c>
    </row>
    <row r="24" spans="2:8" ht="28.35" customHeight="1">
      <c r="B24" s="1" t="s">
        <v>37</v>
      </c>
      <c r="C24" s="9"/>
      <c r="D24" s="9"/>
      <c r="F24" s="2"/>
    </row>
    <row r="25" spans="2:8" ht="28.35" customHeight="1">
      <c r="B25" s="1" t="s">
        <v>38</v>
      </c>
      <c r="C25" s="9"/>
      <c r="D25" s="9"/>
      <c r="F25" s="29" t="s">
        <v>39</v>
      </c>
      <c r="G25" s="14" t="s">
        <v>4</v>
      </c>
      <c r="H25" s="14" t="s">
        <v>8</v>
      </c>
    </row>
    <row r="26" spans="2:8" ht="28.35" customHeight="1">
      <c r="B26" s="1" t="s">
        <v>40</v>
      </c>
      <c r="C26" s="9"/>
      <c r="D26" s="9"/>
      <c r="F26" s="1" t="s">
        <v>41</v>
      </c>
      <c r="G26" s="9"/>
      <c r="H26" s="9"/>
    </row>
    <row r="27" spans="2:8" ht="28.35" customHeight="1">
      <c r="B27" s="1" t="s">
        <v>27</v>
      </c>
      <c r="C27" s="9">
        <f>SUBTOTAL(109,DecorationsExpenses[Estimated])</f>
        <v>6000</v>
      </c>
      <c r="D27" s="9">
        <f>SUBTOTAL(109,DecorationsExpenses[Actual])</f>
        <v>0</v>
      </c>
      <c r="F27" s="1" t="s">
        <v>42</v>
      </c>
      <c r="G27" s="9"/>
      <c r="H27" s="9"/>
    </row>
    <row r="28" spans="2:8" ht="28.35" customHeight="1">
      <c r="B28" s="2"/>
      <c r="F28" s="1" t="s">
        <v>43</v>
      </c>
      <c r="G28" s="9"/>
      <c r="H28" s="9"/>
    </row>
    <row r="29" spans="2:8" ht="28.35" customHeight="1">
      <c r="B29" s="29" t="s">
        <v>44</v>
      </c>
      <c r="C29" s="14" t="s">
        <v>4</v>
      </c>
      <c r="D29" s="14" t="s">
        <v>5</v>
      </c>
      <c r="F29" s="1" t="s">
        <v>45</v>
      </c>
      <c r="G29" s="9"/>
      <c r="H29" s="9"/>
    </row>
    <row r="30" spans="2:8" ht="28.35" customHeight="1">
      <c r="B30" s="1" t="s">
        <v>46</v>
      </c>
      <c r="C30" s="9">
        <v>3000</v>
      </c>
      <c r="D30" s="19">
        <v>3000</v>
      </c>
      <c r="F30" s="1" t="s">
        <v>47</v>
      </c>
      <c r="G30" s="9"/>
      <c r="H30" s="9"/>
    </row>
    <row r="31" spans="2:8" ht="28.35" customHeight="1">
      <c r="B31" s="1" t="s">
        <v>48</v>
      </c>
      <c r="C31" s="9">
        <v>6500</v>
      </c>
      <c r="D31" s="19">
        <v>6500</v>
      </c>
      <c r="F31" s="1" t="s">
        <v>49</v>
      </c>
      <c r="G31" s="9"/>
      <c r="H31" s="9"/>
    </row>
    <row r="32" spans="2:8" ht="27.75" customHeight="1">
      <c r="B32" s="1" t="s">
        <v>27</v>
      </c>
      <c r="C32" s="9">
        <f>SUBTOTAL(109,RefreshmentsExpenses[Estimated])</f>
        <v>9500</v>
      </c>
      <c r="D32" s="19">
        <f>SUBTOTAL(109,RefreshmentsExpenses[Actual])</f>
        <v>9500</v>
      </c>
      <c r="F32" s="1" t="s">
        <v>50</v>
      </c>
      <c r="G32" s="9"/>
      <c r="H32" s="9"/>
    </row>
    <row r="33" spans="2:8" ht="27.75" customHeight="1">
      <c r="B33" s="2"/>
      <c r="F33" s="1" t="s">
        <v>51</v>
      </c>
      <c r="G33" s="9"/>
      <c r="H33" s="9"/>
    </row>
    <row r="34" spans="2:8" ht="27.75" customHeight="1">
      <c r="B34" s="29" t="s">
        <v>52</v>
      </c>
      <c r="C34" s="14" t="s">
        <v>4</v>
      </c>
      <c r="D34" s="14" t="s">
        <v>5</v>
      </c>
      <c r="F34" s="1" t="s">
        <v>53</v>
      </c>
      <c r="G34" s="9"/>
      <c r="H34" s="9"/>
    </row>
    <row r="35" spans="2:8" ht="26.25" customHeight="1">
      <c r="C35" s="9"/>
      <c r="D35" s="19"/>
      <c r="F35" s="1" t="s">
        <v>54</v>
      </c>
      <c r="G35" s="9"/>
      <c r="H35" s="9"/>
    </row>
    <row r="36" spans="2:8" ht="27.75" customHeight="1">
      <c r="C36" s="9"/>
      <c r="D36" s="19"/>
      <c r="F36" s="1" t="s">
        <v>27</v>
      </c>
      <c r="G36" s="9">
        <f>SUBTOTAL(109,DecorationsExpenses1718[Estimated])</f>
        <v>0</v>
      </c>
      <c r="H36" s="9">
        <f>SUBTOTAL(109,DecorationsExpenses1718[Total Cost])</f>
        <v>0</v>
      </c>
    </row>
    <row r="37" spans="2:8" ht="27.75" customHeight="1">
      <c r="C37" s="9"/>
      <c r="D37" s="19"/>
    </row>
    <row r="38" spans="2:8" ht="27.75" customHeight="1">
      <c r="C38" s="9"/>
      <c r="D38" s="19"/>
      <c r="F38" s="29" t="s">
        <v>55</v>
      </c>
      <c r="G38" s="14" t="s">
        <v>56</v>
      </c>
      <c r="H38" s="14" t="s">
        <v>57</v>
      </c>
    </row>
    <row r="39" spans="2:8" ht="27.75" customHeight="1">
      <c r="C39" s="9"/>
      <c r="D39" s="19"/>
      <c r="F39" s="1" t="s">
        <v>58</v>
      </c>
      <c r="G39" s="9">
        <v>250</v>
      </c>
      <c r="H39" s="9">
        <v>250</v>
      </c>
    </row>
    <row r="40" spans="2:8" ht="27.75" customHeight="1">
      <c r="C40" s="9"/>
      <c r="D40" s="19"/>
      <c r="F40" s="1" t="s">
        <v>59</v>
      </c>
      <c r="G40" s="21">
        <v>100</v>
      </c>
      <c r="H40" s="21">
        <v>100</v>
      </c>
    </row>
    <row r="41" spans="2:8" ht="27.75" customHeight="1">
      <c r="B41" s="1" t="s">
        <v>27</v>
      </c>
      <c r="C41" s="9">
        <f>SUBTOTAL(109,RefreshmentsExpenses16[Estimated])</f>
        <v>0</v>
      </c>
      <c r="D41" s="19">
        <f>SUBTOTAL(109,RefreshmentsExpenses16[Actual])</f>
        <v>0</v>
      </c>
      <c r="F41" s="1" t="s">
        <v>60</v>
      </c>
      <c r="G41" s="21">
        <v>250</v>
      </c>
      <c r="H41" s="21">
        <v>250</v>
      </c>
    </row>
    <row r="42" spans="2:8" ht="27.75" customHeight="1">
      <c r="F42" s="1" t="s">
        <v>61</v>
      </c>
      <c r="G42" s="21">
        <v>100</v>
      </c>
      <c r="H42" s="21">
        <v>100</v>
      </c>
    </row>
    <row r="43" spans="2:8" ht="27.75" customHeight="1">
      <c r="B43" s="29" t="s">
        <v>62</v>
      </c>
      <c r="C43" s="14" t="s">
        <v>4</v>
      </c>
      <c r="D43" s="14" t="s">
        <v>5</v>
      </c>
      <c r="F43" s="1" t="s">
        <v>63</v>
      </c>
      <c r="G43" s="21">
        <v>250</v>
      </c>
      <c r="H43" s="21">
        <v>250</v>
      </c>
    </row>
    <row r="44" spans="2:8" ht="27.75" customHeight="1">
      <c r="B44" s="1" t="s">
        <v>64</v>
      </c>
      <c r="C44" s="9"/>
      <c r="D44" s="19">
        <v>100</v>
      </c>
      <c r="F44" s="1" t="s">
        <v>65</v>
      </c>
      <c r="G44" s="21">
        <v>100</v>
      </c>
      <c r="H44" s="21">
        <v>100</v>
      </c>
    </row>
    <row r="45" spans="2:8" ht="27.75" customHeight="1">
      <c r="C45" s="9"/>
      <c r="D45" s="19"/>
      <c r="F45" s="1" t="s">
        <v>66</v>
      </c>
      <c r="G45" s="21">
        <v>250</v>
      </c>
      <c r="H45" s="21">
        <v>250</v>
      </c>
    </row>
    <row r="46" spans="2:8" ht="27.75" customHeight="1">
      <c r="C46" s="9"/>
      <c r="D46" s="19"/>
      <c r="F46" s="1" t="s">
        <v>67</v>
      </c>
      <c r="G46" s="21">
        <v>100</v>
      </c>
      <c r="H46" s="21">
        <v>100</v>
      </c>
    </row>
    <row r="47" spans="2:8" ht="27.75" customHeight="1">
      <c r="C47" s="9"/>
      <c r="D47" s="19"/>
      <c r="F47" s="1" t="s">
        <v>68</v>
      </c>
      <c r="G47" s="21">
        <v>250</v>
      </c>
      <c r="H47" s="21">
        <v>250</v>
      </c>
    </row>
    <row r="48" spans="2:8" ht="27.75" customHeight="1">
      <c r="C48" s="9"/>
      <c r="D48" s="19"/>
      <c r="F48" s="1" t="s">
        <v>59</v>
      </c>
      <c r="G48" s="21">
        <v>100</v>
      </c>
      <c r="H48" s="21">
        <v>100</v>
      </c>
    </row>
    <row r="49" spans="2:8" ht="27.75" customHeight="1">
      <c r="C49" s="9"/>
      <c r="D49" s="19"/>
      <c r="F49" s="1" t="s">
        <v>27</v>
      </c>
      <c r="G49" s="21">
        <f>SUBTOTAL(109,PrizesExpenses[Amount])</f>
        <v>1750</v>
      </c>
      <c r="H49" s="21">
        <f>SUBTOTAL(109,PrizesExpenses[Amount])</f>
        <v>1750</v>
      </c>
    </row>
    <row r="50" spans="2:8" ht="27.75" customHeight="1">
      <c r="B50" s="1" t="s">
        <v>27</v>
      </c>
      <c r="C50" s="9">
        <f>SUBTOTAL(109,RefreshmentsExpenses1610[Estimated])</f>
        <v>0</v>
      </c>
      <c r="D50" s="19">
        <f>SUBTOTAL(109,RefreshmentsExpenses1610[Actual])</f>
        <v>100</v>
      </c>
    </row>
    <row r="51" spans="2:8" ht="27.75" customHeight="1">
      <c r="B51" s="2"/>
      <c r="F51" s="29" t="s">
        <v>69</v>
      </c>
      <c r="G51" s="14" t="s">
        <v>4</v>
      </c>
      <c r="H51" s="14" t="s">
        <v>5</v>
      </c>
    </row>
    <row r="52" spans="2:8" ht="27.75" customHeight="1">
      <c r="F52" s="1" t="s">
        <v>70</v>
      </c>
      <c r="G52" s="9">
        <v>49.27</v>
      </c>
      <c r="H52" s="9">
        <v>50</v>
      </c>
    </row>
    <row r="53" spans="2:8" ht="27.75" customHeight="1">
      <c r="F53" s="1" t="s">
        <v>71</v>
      </c>
      <c r="G53" s="9"/>
      <c r="H53" s="9"/>
    </row>
    <row r="54" spans="2:8" ht="27.75" customHeight="1">
      <c r="F54" s="1" t="s">
        <v>72</v>
      </c>
      <c r="G54" s="9">
        <v>20</v>
      </c>
      <c r="H54" s="9">
        <v>400</v>
      </c>
    </row>
    <row r="55" spans="2:8" ht="27.75" customHeight="1">
      <c r="F55" s="1" t="s">
        <v>73</v>
      </c>
      <c r="G55" s="9"/>
      <c r="H55" s="9"/>
    </row>
    <row r="56" spans="2:8" ht="27.75" customHeight="1">
      <c r="F56" s="1" t="s">
        <v>74</v>
      </c>
      <c r="G56" s="9"/>
      <c r="H56" s="9"/>
    </row>
    <row r="57" spans="2:8" ht="27.75" customHeight="1">
      <c r="F57" s="1" t="s">
        <v>75</v>
      </c>
      <c r="G57" s="9"/>
      <c r="H57" s="9"/>
    </row>
    <row r="58" spans="2:8" ht="27.75" customHeight="1">
      <c r="F58" s="1" t="s">
        <v>27</v>
      </c>
      <c r="G58" s="9">
        <f>SUBTOTAL(109,DecorationsExpenses17[Estimated])</f>
        <v>69.27000000000001</v>
      </c>
      <c r="H58" s="9">
        <f>SUBTOTAL(109,DecorationsExpenses17[Actual])</f>
        <v>450</v>
      </c>
    </row>
    <row r="59" spans="2:8" ht="27.75" customHeight="1"/>
    <row r="60" spans="2:8" ht="27.75" customHeight="1">
      <c r="F60" s="29" t="s">
        <v>76</v>
      </c>
      <c r="G60" s="14" t="s">
        <v>77</v>
      </c>
      <c r="H60" s="14" t="s">
        <v>27</v>
      </c>
    </row>
    <row r="61" spans="2:8" ht="27.75" customHeight="1">
      <c r="F61" s="13" t="s">
        <v>78</v>
      </c>
      <c r="G61" s="22">
        <v>149.35</v>
      </c>
      <c r="H61" s="23">
        <v>149.35</v>
      </c>
    </row>
    <row r="62" spans="2:8" ht="27.75" customHeight="1">
      <c r="F62" s="13" t="s">
        <v>79</v>
      </c>
      <c r="G62" s="22">
        <v>17</v>
      </c>
      <c r="H62" s="23">
        <v>17</v>
      </c>
    </row>
    <row r="63" spans="2:8" ht="27.75" customHeight="1">
      <c r="F63" s="51" t="s">
        <v>80</v>
      </c>
      <c r="G63" s="22">
        <v>15.45</v>
      </c>
      <c r="H63" s="23">
        <v>15.45</v>
      </c>
    </row>
    <row r="64" spans="2:8" ht="27.75" customHeight="1">
      <c r="F64" s="13" t="s">
        <v>81</v>
      </c>
      <c r="G64" s="22">
        <v>5</v>
      </c>
      <c r="H64" s="23">
        <v>70</v>
      </c>
    </row>
    <row r="65" spans="6:8" ht="27.75" customHeight="1">
      <c r="F65" s="13" t="s">
        <v>82</v>
      </c>
      <c r="G65" s="49">
        <v>37.5</v>
      </c>
      <c r="H65" s="50">
        <v>112.5</v>
      </c>
    </row>
    <row r="66" spans="6:8" ht="27.75" customHeight="1">
      <c r="F66" s="13" t="s">
        <v>83</v>
      </c>
      <c r="G66" s="49">
        <v>55.5</v>
      </c>
      <c r="H66" s="50">
        <v>55.5</v>
      </c>
    </row>
    <row r="67" spans="6:8" ht="27.75" customHeight="1">
      <c r="F67" s="13" t="s">
        <v>84</v>
      </c>
      <c r="G67" s="49">
        <v>55.5</v>
      </c>
      <c r="H67" s="50">
        <v>5550</v>
      </c>
    </row>
    <row r="68" spans="6:8" ht="27.75" customHeight="1">
      <c r="F68" s="13" t="s">
        <v>85</v>
      </c>
      <c r="G68" s="49">
        <v>550</v>
      </c>
      <c r="H68" s="50">
        <v>550</v>
      </c>
    </row>
    <row r="69" spans="6:8" ht="27.75" customHeight="1">
      <c r="F69" s="13" t="s">
        <v>86</v>
      </c>
      <c r="G69" s="49">
        <v>330</v>
      </c>
      <c r="H69" s="50">
        <v>330</v>
      </c>
    </row>
    <row r="70" spans="6:8" ht="27.75" customHeight="1">
      <c r="F70" s="13" t="s">
        <v>87</v>
      </c>
      <c r="G70" s="49">
        <v>1.5</v>
      </c>
      <c r="H70" s="50">
        <v>150</v>
      </c>
    </row>
    <row r="71" spans="6:8" ht="27.75" customHeight="1">
      <c r="F71" s="13" t="s">
        <v>88</v>
      </c>
      <c r="G71" s="49">
        <v>5</v>
      </c>
      <c r="H71" s="50">
        <v>500</v>
      </c>
    </row>
    <row r="72" spans="6:8" ht="27.75" customHeight="1">
      <c r="F72" s="13" t="s">
        <v>89</v>
      </c>
      <c r="G72" s="49">
        <v>5</v>
      </c>
      <c r="H72" s="50">
        <v>500</v>
      </c>
    </row>
    <row r="73" spans="6:8" ht="27.75" customHeight="1">
      <c r="F73" s="13"/>
      <c r="G73" s="49"/>
      <c r="H73" s="50"/>
    </row>
    <row r="74" spans="6:8" ht="27" customHeight="1">
      <c r="F74" s="13" t="s">
        <v>27</v>
      </c>
      <c r="G74" s="22">
        <f>SUBTOTAL(109,MiscellaneousExpenses[Cost])</f>
        <v>1226.8</v>
      </c>
      <c r="H74" s="23">
        <f>SUBTOTAL(109,MiscellaneousExpenses[Total])</f>
        <v>7999.8</v>
      </c>
    </row>
    <row r="75" spans="6:8" ht="27.75" customHeight="1"/>
    <row r="76" spans="6:8" ht="27.75" customHeight="1">
      <c r="F76" s="29" t="s">
        <v>90</v>
      </c>
      <c r="G76" s="14" t="s">
        <v>77</v>
      </c>
      <c r="H76" s="14" t="s">
        <v>27</v>
      </c>
    </row>
    <row r="77" spans="6:8" ht="27.75" customHeight="1">
      <c r="F77" s="1" t="s">
        <v>91</v>
      </c>
      <c r="G77" s="9">
        <v>169.99</v>
      </c>
      <c r="H77" s="9">
        <v>679.96</v>
      </c>
    </row>
    <row r="78" spans="6:8" ht="27.75" customHeight="1">
      <c r="F78" s="1" t="s">
        <v>92</v>
      </c>
      <c r="G78" s="9"/>
      <c r="H78" s="9"/>
    </row>
    <row r="79" spans="6:8" ht="27.75" customHeight="1">
      <c r="F79" s="1" t="s">
        <v>93</v>
      </c>
      <c r="G79" s="9"/>
      <c r="H79" s="9"/>
    </row>
    <row r="80" spans="6:8" ht="27.75" customHeight="1">
      <c r="F80" s="1" t="s">
        <v>94</v>
      </c>
      <c r="G80" s="9"/>
      <c r="H80" s="9"/>
    </row>
    <row r="81" spans="6:8" ht="27.75" customHeight="1">
      <c r="F81" s="1" t="s">
        <v>95</v>
      </c>
      <c r="G81" s="9"/>
      <c r="H81" s="9"/>
    </row>
    <row r="82" spans="6:8" ht="27.75" customHeight="1">
      <c r="F82" s="1" t="s">
        <v>27</v>
      </c>
      <c r="G82" s="9">
        <f>SUBTOTAL(109,DecorationsExpenses1711[Cost])</f>
        <v>169.99</v>
      </c>
      <c r="H82" s="9">
        <f>SUBTOTAL(109,DecorationsExpenses1711[Total])</f>
        <v>679.96</v>
      </c>
    </row>
    <row r="83" spans="6:8" ht="27.75" customHeight="1"/>
    <row r="84" spans="6:8" ht="27.75" customHeight="1">
      <c r="F84" s="29" t="s">
        <v>96</v>
      </c>
      <c r="G84" s="14" t="s">
        <v>77</v>
      </c>
      <c r="H84" s="14" t="s">
        <v>27</v>
      </c>
    </row>
    <row r="85" spans="6:8" ht="27.75" customHeight="1">
      <c r="F85" s="1" t="s">
        <v>91</v>
      </c>
      <c r="G85" s="9">
        <v>169.99</v>
      </c>
      <c r="H85" s="9">
        <v>679.96</v>
      </c>
    </row>
    <row r="86" spans="6:8" ht="20.25" customHeight="1">
      <c r="F86" s="1" t="s">
        <v>92</v>
      </c>
      <c r="G86" s="9"/>
      <c r="H86" s="9"/>
    </row>
    <row r="87" spans="6:8" ht="20.25" customHeight="1">
      <c r="F87" s="1" t="s">
        <v>93</v>
      </c>
      <c r="G87" s="9"/>
      <c r="H87" s="9"/>
    </row>
    <row r="88" spans="6:8" ht="20.25" customHeight="1">
      <c r="F88" s="1" t="s">
        <v>94</v>
      </c>
      <c r="G88" s="9"/>
      <c r="H88" s="9"/>
    </row>
    <row r="89" spans="6:8" ht="20.25" customHeight="1">
      <c r="F89" s="1" t="s">
        <v>95</v>
      </c>
      <c r="G89" s="9"/>
      <c r="H89" s="9"/>
    </row>
    <row r="90" spans="6:8" ht="20.25" customHeight="1">
      <c r="F90" s="1" t="s">
        <v>27</v>
      </c>
      <c r="G90" s="9">
        <f>SUBTOTAL(109,DecorationsExpenses171112[Cost])</f>
        <v>169.99</v>
      </c>
      <c r="H90" s="9">
        <f>SUBTOTAL(109,DecorationsExpenses171112[Total])</f>
        <v>679.96</v>
      </c>
    </row>
    <row r="92" spans="6:8" ht="20.25" customHeight="1">
      <c r="F92" s="29" t="s">
        <v>97</v>
      </c>
      <c r="G92" s="14" t="s">
        <v>77</v>
      </c>
      <c r="H92" s="14" t="s">
        <v>27</v>
      </c>
    </row>
    <row r="93" spans="6:8" ht="20.25" customHeight="1">
      <c r="F93" s="1" t="s">
        <v>91</v>
      </c>
      <c r="G93" s="9">
        <v>169.99</v>
      </c>
      <c r="H93" s="9">
        <v>679.96</v>
      </c>
    </row>
    <row r="94" spans="6:8" ht="20.25" customHeight="1">
      <c r="F94" s="1" t="s">
        <v>92</v>
      </c>
      <c r="G94" s="9"/>
      <c r="H94" s="9"/>
    </row>
    <row r="95" spans="6:8" ht="20.25" customHeight="1">
      <c r="F95" s="1" t="s">
        <v>93</v>
      </c>
      <c r="G95" s="9"/>
      <c r="H95" s="9"/>
    </row>
    <row r="96" spans="6:8" ht="20.25" customHeight="1">
      <c r="F96" s="1" t="s">
        <v>94</v>
      </c>
      <c r="G96" s="9"/>
      <c r="H96" s="9"/>
    </row>
    <row r="97" spans="6:8" ht="20.25" customHeight="1">
      <c r="F97" s="1" t="s">
        <v>95</v>
      </c>
      <c r="G97" s="9"/>
      <c r="H97" s="9"/>
    </row>
    <row r="98" spans="6:8" ht="20.25" customHeight="1">
      <c r="F98" s="1" t="s">
        <v>27</v>
      </c>
      <c r="G98" s="9">
        <f>SUBTOTAL(109,DecorationsExpenses171113[Cost])</f>
        <v>169.99</v>
      </c>
      <c r="H98" s="9">
        <f>SUBTOTAL(109,DecorationsExpenses171113[Total])</f>
        <v>679.96</v>
      </c>
    </row>
  </sheetData>
  <mergeCells count="2">
    <mergeCell ref="B7:B8"/>
    <mergeCell ref="B9:B10"/>
  </mergeCells>
  <phoneticPr fontId="1" type="noConversion"/>
  <dataValidations count="9">
    <dataValidation allowBlank="1" showInputMessage="1" showErrorMessage="1" prompt="Enter Event Name in this cell" sqref="B3" xr:uid="{00000000-0002-0000-0000-000000000000}"/>
    <dataValidation allowBlank="1" showInputMessage="1" showErrorMessage="1" prompt="Enter estimated and actual expenses under Site category" sqref="B13" xr:uid="{00000000-0002-0000-0000-000001000000}"/>
    <dataValidation allowBlank="1" showInputMessage="1" showErrorMessage="1" prompt="Enter estimated and actual expenses under Decorations category" sqref="B19 F51 F25 F76 F92 F84" xr:uid="{00000000-0002-0000-0000-000002000000}"/>
    <dataValidation allowBlank="1" showInputMessage="1" showErrorMessage="1" prompt="Enter estimated and actual expenses under Refreshment category" sqref="B29 B34 B43" xr:uid="{00000000-0002-0000-0000-000003000000}"/>
    <dataValidation allowBlank="1" showInputMessage="1" showErrorMessage="1" prompt="Enter estimated and actual expenses under Program category" sqref="F7" xr:uid="{00000000-0002-0000-0000-000004000000}"/>
    <dataValidation allowBlank="1" showInputMessage="1" showErrorMessage="1" prompt="Enter estimated and actual expenses under Publicity category" sqref="F19" xr:uid="{00000000-0002-0000-0000-000005000000}"/>
    <dataValidation allowBlank="1" showInputMessage="1" showErrorMessage="1" prompt="Enter estimated and actual expenses under Prizes category" sqref="F38" xr:uid="{00000000-0002-0000-0000-000006000000}"/>
    <dataValidation allowBlank="1" showInputMessage="1" showErrorMessage="1" promptTitle="Event Budget" prompt="Create an Event Budget with profit and loss summary using this workbook._x000a__x000a_Enter Event Name in cell B3._x000a__x000a_Enter Expenses details in this worksheet. Enter Income details in the next worksheet. Profit and Loss Summary will be automatically updated." sqref="A1" xr:uid="{B53F834C-12D0-4155-B4AC-125CF77A0F46}"/>
    <dataValidation allowBlank="1" showInputMessage="1" showErrorMessage="1" prompt="Enter estimated and actual expenses under Miscellaneous category" sqref="F60" xr:uid="{00000000-0002-0000-0000-000007000000}"/>
  </dataValidations>
  <printOptions horizontalCentered="1"/>
  <pageMargins left="0.3" right="0.3" top="0.5" bottom="0.5" header="0.3" footer="0.3"/>
  <pageSetup fitToHeight="0" orientation="portrait" r:id="rId1"/>
  <headerFooter alignWithMargins="0"/>
  <drawing r:id="rId2"/>
  <legacyDrawing r:id="rId3"/>
  <tableParts count="14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B1:P33"/>
  <sheetViews>
    <sheetView showGridLines="0" topLeftCell="A16" zoomScaleNormal="100" workbookViewId="0">
      <selection activeCell="J4" sqref="J4"/>
    </sheetView>
  </sheetViews>
  <sheetFormatPr defaultColWidth="9.140625" defaultRowHeight="21" customHeight="1"/>
  <cols>
    <col min="1" max="1" width="1.7109375" style="2" customWidth="1"/>
    <col min="2" max="2" width="26.7109375" style="1" customWidth="1"/>
    <col min="3" max="7" width="23.7109375" style="2" customWidth="1"/>
    <col min="8" max="8" width="1.7109375" style="2" customWidth="1"/>
    <col min="9" max="10" width="9.140625" style="2" customWidth="1"/>
    <col min="11" max="11" width="9.140625" style="2"/>
    <col min="12" max="16" width="12.7109375" style="3" customWidth="1"/>
    <col min="17" max="16384" width="9.140625" style="2"/>
  </cols>
  <sheetData>
    <row r="1" spans="2:16" ht="9" customHeight="1">
      <c r="F1" s="1"/>
      <c r="H1" s="2" t="s">
        <v>0</v>
      </c>
    </row>
    <row r="2" spans="2:16" ht="9" customHeight="1">
      <c r="B2" s="32"/>
      <c r="C2" s="33"/>
      <c r="D2" s="33"/>
      <c r="E2" s="33"/>
      <c r="F2" s="32"/>
      <c r="G2" s="33"/>
      <c r="H2" s="4"/>
      <c r="L2" s="2"/>
      <c r="M2" s="2"/>
      <c r="N2" s="2"/>
      <c r="O2" s="2"/>
      <c r="P2" s="2"/>
    </row>
    <row r="3" spans="2:16" s="5" customFormat="1" ht="43.35" customHeight="1">
      <c r="B3" s="34"/>
      <c r="C3" s="41"/>
      <c r="D3" s="41"/>
      <c r="E3" s="41"/>
      <c r="F3" s="41"/>
      <c r="G3" s="42"/>
    </row>
    <row r="4" spans="2:16" s="6" customFormat="1" ht="43.35" customHeight="1">
      <c r="B4" s="43" t="s">
        <v>98</v>
      </c>
      <c r="C4" s="44"/>
      <c r="D4" s="44"/>
      <c r="E4" s="45"/>
      <c r="F4" s="45"/>
      <c r="G4" s="46"/>
    </row>
    <row r="5" spans="2:16" ht="9" customHeight="1">
      <c r="B5" s="47"/>
      <c r="C5" s="48"/>
      <c r="D5" s="48"/>
      <c r="E5" s="33"/>
      <c r="F5" s="32"/>
      <c r="G5" s="33"/>
      <c r="H5" s="4"/>
      <c r="L5" s="2"/>
      <c r="M5" s="2"/>
      <c r="N5" s="2"/>
      <c r="O5" s="2"/>
      <c r="P5" s="2"/>
    </row>
    <row r="6" spans="2:16" ht="20.25" customHeight="1"/>
    <row r="7" spans="2:16" ht="28.35" customHeight="1">
      <c r="B7" s="24" t="s">
        <v>99</v>
      </c>
      <c r="C7" s="25" t="s">
        <v>4</v>
      </c>
      <c r="D7" s="25" t="s">
        <v>27</v>
      </c>
      <c r="E7" s="25"/>
      <c r="F7" s="26" t="s">
        <v>100</v>
      </c>
      <c r="G7" s="7"/>
      <c r="L7" s="3" t="s">
        <v>101</v>
      </c>
      <c r="M7" s="8" t="s">
        <v>102</v>
      </c>
      <c r="N7" s="3" t="s">
        <v>4</v>
      </c>
      <c r="O7" s="3" t="s">
        <v>5</v>
      </c>
      <c r="P7" s="3" t="s">
        <v>103</v>
      </c>
    </row>
    <row r="8" spans="2:16" ht="28.35" customHeight="1">
      <c r="B8" s="1" t="str">
        <f>VLOOKUP(1,$L$8:$O$14,2,FALSE)</f>
        <v>Refreshments</v>
      </c>
      <c r="C8" s="9">
        <f>VLOOKUP(1,$L$8:$O$14,3,FALSE)</f>
        <v>9500</v>
      </c>
      <c r="D8" s="9">
        <f>VLOOKUP(1,$L$8:$O$14,4,FALSE)</f>
        <v>9500</v>
      </c>
      <c r="L8" s="3">
        <f t="shared" ref="L8:L14" si="0">_xlfn.RANK.AVG(P8,$P$8:$P$14)</f>
        <v>5</v>
      </c>
      <c r="M8" s="8" t="s">
        <v>104</v>
      </c>
      <c r="N8" s="10">
        <f>SiteExpenses[[#Totals],[HST &amp; Service Charge]]</f>
        <v>113.05000000000001</v>
      </c>
      <c r="O8" s="10">
        <f>SiteExpenses[[#Totals],[Total/ Person]]</f>
        <v>665</v>
      </c>
      <c r="P8" s="11">
        <f>O8+ROW(O8)/10000</f>
        <v>665.00080000000003</v>
      </c>
    </row>
    <row r="9" spans="2:16" ht="28.35" customHeight="1">
      <c r="B9" s="1" t="str">
        <f>VLOOKUP(2,$L$8:$O$14,2,FALSE)</f>
        <v>Miscellaneous</v>
      </c>
      <c r="C9" s="9">
        <f>VLOOKUP(2,$L$8:$O$14,3,FALSE)</f>
        <v>1226.8</v>
      </c>
      <c r="D9" s="9">
        <f>VLOOKUP(2,$L$8:$O$14,4,FALSE)</f>
        <v>7999.8</v>
      </c>
      <c r="L9" s="3">
        <f t="shared" si="0"/>
        <v>7</v>
      </c>
      <c r="M9" s="8" t="s">
        <v>105</v>
      </c>
      <c r="N9" s="10">
        <f>DecorationsExpenses[[#Totals],[Estimated]]</f>
        <v>6000</v>
      </c>
      <c r="O9" s="10">
        <f>DecorationsExpenses[[#Totals],[Actual]]</f>
        <v>0</v>
      </c>
      <c r="P9" s="11">
        <f t="shared" ref="P9:P14" si="1">O9+ROW(O9)/10000</f>
        <v>8.9999999999999998E-4</v>
      </c>
    </row>
    <row r="10" spans="2:16" ht="28.35" customHeight="1">
      <c r="B10" s="1" t="str">
        <f>VLOOKUP(3,$L$8:$O$14,2,FALSE)</f>
        <v>Program</v>
      </c>
      <c r="C10" s="9">
        <f>VLOOKUP(3,$L$8:$O$14,3,FALSE)</f>
        <v>61</v>
      </c>
      <c r="D10" s="9">
        <f>VLOOKUP(3,$L$8:$O$14,4,FALSE)</f>
        <v>3260</v>
      </c>
      <c r="L10" s="3">
        <f t="shared" si="0"/>
        <v>1</v>
      </c>
      <c r="M10" s="8" t="s">
        <v>106</v>
      </c>
      <c r="N10" s="10">
        <f>RefreshmentsExpenses[[#Totals],[Estimated]]</f>
        <v>9500</v>
      </c>
      <c r="O10" s="10">
        <f>RefreshmentsExpenses[[#Totals],[Actual]]</f>
        <v>9500</v>
      </c>
      <c r="P10" s="11">
        <f t="shared" si="1"/>
        <v>9500.0010000000002</v>
      </c>
    </row>
    <row r="11" spans="2:16" ht="28.35" customHeight="1">
      <c r="B11" s="1" t="str">
        <f>VLOOKUP(4,$L$8:$O$14,2,FALSE)</f>
        <v>Prizes</v>
      </c>
      <c r="C11" s="9">
        <f>VLOOKUP(4,$L$8:$O$14,3,FALSE)</f>
        <v>1750</v>
      </c>
      <c r="D11" s="9">
        <f>VLOOKUP(4,$L$8:$O$14,4,FALSE)</f>
        <v>1750</v>
      </c>
      <c r="L11" s="3">
        <f t="shared" si="0"/>
        <v>3</v>
      </c>
      <c r="M11" s="8" t="s">
        <v>107</v>
      </c>
      <c r="N11" s="10">
        <f>ProgramExpenses[[#Totals],[Price Per Unit (PPU)]]</f>
        <v>61</v>
      </c>
      <c r="O11" s="10">
        <f>ProgramExpenses[[#Totals],[Total Cost]]</f>
        <v>3260</v>
      </c>
      <c r="P11" s="11">
        <f t="shared" si="1"/>
        <v>3260.0011</v>
      </c>
    </row>
    <row r="12" spans="2:16" ht="28.35" customHeight="1">
      <c r="B12" s="1" t="str">
        <f>VLOOKUP(5,$L$8:$O$14,2,FALSE)</f>
        <v>Site</v>
      </c>
      <c r="C12" s="9">
        <f>VLOOKUP(5,$L$8:$O$14,3,FALSE)</f>
        <v>113.05000000000001</v>
      </c>
      <c r="D12" s="9">
        <f>VLOOKUP(5,$L$8:$O$14,4,FALSE)</f>
        <v>665</v>
      </c>
      <c r="L12" s="3">
        <f t="shared" si="0"/>
        <v>6</v>
      </c>
      <c r="M12" s="8" t="s">
        <v>108</v>
      </c>
      <c r="N12" s="10">
        <f>PublicityExpenses[[#Totals],[Estimated]]</f>
        <v>500</v>
      </c>
      <c r="O12" s="10">
        <f>PublicityExpenses[[#Totals],[Total Cost]]</f>
        <v>0</v>
      </c>
      <c r="P12" s="11">
        <f t="shared" si="1"/>
        <v>1.1999999999999999E-3</v>
      </c>
    </row>
    <row r="13" spans="2:16" ht="28.35" customHeight="1">
      <c r="B13" s="1" t="str">
        <f>VLOOKUP(6,$L$8:$O$14,2,FALSE)</f>
        <v>Publicity</v>
      </c>
      <c r="C13" s="9">
        <f>VLOOKUP(6,$L$8:$O$14,3,FALSE)</f>
        <v>500</v>
      </c>
      <c r="D13" s="9">
        <f>VLOOKUP(6,$L$8:$O$14,4,FALSE)</f>
        <v>0</v>
      </c>
      <c r="L13" s="3">
        <f t="shared" si="0"/>
        <v>4</v>
      </c>
      <c r="M13" s="8" t="s">
        <v>109</v>
      </c>
      <c r="N13" s="10">
        <f>PrizesExpenses[[#Totals],[Amount]]</f>
        <v>1750</v>
      </c>
      <c r="O13" s="10">
        <f>PrizesExpenses[[#Totals],[Total ]]</f>
        <v>1750</v>
      </c>
      <c r="P13" s="11">
        <f t="shared" si="1"/>
        <v>1750.0012999999999</v>
      </c>
    </row>
    <row r="14" spans="2:16" ht="28.35" customHeight="1">
      <c r="B14" s="1" t="str">
        <f>VLOOKUP(7,$L$8:$O$14,2,FALSE)</f>
        <v>Decorations</v>
      </c>
      <c r="C14" s="9">
        <f>VLOOKUP(7,$L$8:$O$14,3,FALSE)</f>
        <v>6000</v>
      </c>
      <c r="D14" s="9">
        <f>VLOOKUP(7,$L$8:$O$14,4,FALSE)</f>
        <v>0</v>
      </c>
      <c r="L14" s="3">
        <f t="shared" si="0"/>
        <v>2</v>
      </c>
      <c r="M14" s="8" t="s">
        <v>110</v>
      </c>
      <c r="N14" s="10">
        <f>MiscellaneousExpenses[[#Totals],[Cost]]</f>
        <v>1226.8</v>
      </c>
      <c r="O14" s="10">
        <f>MiscellaneousExpenses[[#Totals],[Total]]</f>
        <v>7999.8</v>
      </c>
      <c r="P14" s="11">
        <f t="shared" si="1"/>
        <v>7999.8014000000003</v>
      </c>
    </row>
    <row r="15" spans="2:16" ht="28.35" customHeight="1">
      <c r="B15" s="1" t="s">
        <v>27</v>
      </c>
      <c r="C15" s="9">
        <f>SUBTOTAL(109,ExpensesSummary[Estimated])</f>
        <v>19150.849999999999</v>
      </c>
      <c r="D15" s="9">
        <f>SUBTOTAL(109,ExpensesSummary[Total])</f>
        <v>23174.799999999999</v>
      </c>
    </row>
    <row r="16" spans="2:16" ht="28.35" customHeight="1"/>
    <row r="17" spans="2:16" ht="28.35" customHeight="1">
      <c r="B17" s="27" t="s">
        <v>111</v>
      </c>
      <c r="C17" s="25" t="s">
        <v>4</v>
      </c>
      <c r="D17" s="25" t="s">
        <v>27</v>
      </c>
      <c r="E17" s="25"/>
      <c r="F17" s="26" t="s">
        <v>112</v>
      </c>
      <c r="G17" s="25"/>
      <c r="L17" s="3" t="s">
        <v>101</v>
      </c>
      <c r="M17" s="8" t="s">
        <v>113</v>
      </c>
      <c r="N17" s="3" t="s">
        <v>4</v>
      </c>
      <c r="O17" s="3" t="s">
        <v>5</v>
      </c>
      <c r="P17" s="3" t="s">
        <v>103</v>
      </c>
    </row>
    <row r="18" spans="2:16" ht="28.35" customHeight="1">
      <c r="B18" s="1" t="e">
        <f>VLOOKUP(1,$L$18:$O$21,2,FALSE)</f>
        <v>#N/A</v>
      </c>
      <c r="C18" s="9" t="e">
        <f>VLOOKUP(1,$L$18:$O$21,3,FALSE)</f>
        <v>#N/A</v>
      </c>
      <c r="D18" s="9" t="e">
        <f>VLOOKUP(1,$L$18:$O$21,4,FALSE)</f>
        <v>#N/A</v>
      </c>
      <c r="L18" s="3" t="e">
        <f>_xlfn.RANK.AVG(P18,$P$18:$P$21)</f>
        <v>#REF!</v>
      </c>
      <c r="M18" s="12" t="s">
        <v>114</v>
      </c>
      <c r="N18" s="10" t="e">
        <f>#REF!</f>
        <v>#REF!</v>
      </c>
      <c r="O18" s="10" t="e">
        <f>#REF!</f>
        <v>#REF!</v>
      </c>
      <c r="P18" s="11" t="e">
        <f t="shared" ref="P18:P21" si="2">O18+ROW(O18)/10000</f>
        <v>#REF!</v>
      </c>
    </row>
    <row r="19" spans="2:16" ht="28.35" customHeight="1">
      <c r="B19" s="1" t="e">
        <f>VLOOKUP(2,$L$18:$O$21,2,FALSE)</f>
        <v>#N/A</v>
      </c>
      <c r="C19" s="9" t="e">
        <f>VLOOKUP(2,$L$18:$O$21,3,FALSE)</f>
        <v>#N/A</v>
      </c>
      <c r="D19" s="9" t="e">
        <f>VLOOKUP(2,$L$18:$O$21,4,FALSE)</f>
        <v>#N/A</v>
      </c>
      <c r="L19" s="3" t="e">
        <f t="shared" ref="L19:L21" si="3">_xlfn.RANK.AVG(P19,$P$18:$P$21)</f>
        <v>#REF!</v>
      </c>
      <c r="M19" s="12" t="s">
        <v>115</v>
      </c>
      <c r="N19" s="10" t="e">
        <f>#REF!</f>
        <v>#REF!</v>
      </c>
      <c r="O19" s="10" t="e">
        <f>#REF!</f>
        <v>#REF!</v>
      </c>
      <c r="P19" s="11" t="e">
        <f t="shared" si="2"/>
        <v>#REF!</v>
      </c>
    </row>
    <row r="20" spans="2:16" ht="28.35" customHeight="1">
      <c r="B20" s="1" t="s">
        <v>116</v>
      </c>
      <c r="C20" s="9" t="e">
        <f>VLOOKUP(3,$L$18:$O$21,3,FALSE)</f>
        <v>#N/A</v>
      </c>
      <c r="D20" s="9" t="e">
        <f>VLOOKUP(3,$L$18:$O$21,4,FALSE)</f>
        <v>#N/A</v>
      </c>
      <c r="L20" s="3" t="e">
        <f t="shared" si="3"/>
        <v>#REF!</v>
      </c>
      <c r="M20" s="12" t="s">
        <v>117</v>
      </c>
      <c r="N20" s="10" t="e">
        <f>#REF!</f>
        <v>#REF!</v>
      </c>
      <c r="O20" s="10" t="e">
        <f>#REF!</f>
        <v>#REF!</v>
      </c>
      <c r="P20" s="11" t="e">
        <f t="shared" si="2"/>
        <v>#REF!</v>
      </c>
    </row>
    <row r="21" spans="2:16" ht="28.35" customHeight="1">
      <c r="B21" s="1" t="e">
        <f>VLOOKUP(4,$L$18:$O$21,2,FALSE)</f>
        <v>#N/A</v>
      </c>
      <c r="C21" s="9" t="e">
        <f>VLOOKUP(4,$L$18:$O$21,3,FALSE)</f>
        <v>#N/A</v>
      </c>
      <c r="D21" s="9" t="e">
        <f>VLOOKUP(4,$L$18:$O$21,4,FALSE)</f>
        <v>#N/A</v>
      </c>
      <c r="L21" s="3" t="e">
        <f t="shared" si="3"/>
        <v>#REF!</v>
      </c>
      <c r="M21" s="12" t="s">
        <v>116</v>
      </c>
      <c r="N21" s="10" t="e">
        <f>#REF!</f>
        <v>#REF!</v>
      </c>
      <c r="O21" s="10" t="e">
        <f>#REF!</f>
        <v>#REF!</v>
      </c>
      <c r="P21" s="11" t="e">
        <f t="shared" si="2"/>
        <v>#REF!</v>
      </c>
    </row>
    <row r="22" spans="2:16" ht="28.35" customHeight="1">
      <c r="B22" s="1" t="s">
        <v>27</v>
      </c>
      <c r="C22" s="9" t="e">
        <f>SUBTOTAL(109,IncomeSummary[Estimated])</f>
        <v>#N/A</v>
      </c>
      <c r="D22" s="9" t="e">
        <f>SUBTOTAL(109,IncomeSummary[Total])</f>
        <v>#N/A</v>
      </c>
    </row>
    <row r="23" spans="2:16" ht="28.35" customHeight="1"/>
    <row r="24" spans="2:16" ht="28.35" customHeight="1">
      <c r="B24" s="28" t="s">
        <v>118</v>
      </c>
      <c r="C24" s="25" t="s">
        <v>4</v>
      </c>
      <c r="D24" s="25" t="s">
        <v>5</v>
      </c>
      <c r="E24" s="25"/>
      <c r="F24" s="25"/>
      <c r="G24" s="25"/>
      <c r="M24" s="8"/>
    </row>
    <row r="25" spans="2:16" ht="28.35" customHeight="1">
      <c r="B25" s="1" t="s">
        <v>119</v>
      </c>
      <c r="C25" s="9" t="e">
        <f>IncomeSummary[[#Totals],[Estimated]]</f>
        <v>#N/A</v>
      </c>
      <c r="D25" s="9" t="e">
        <f>IncomeSummary[[#Totals],[Total]]</f>
        <v>#N/A</v>
      </c>
    </row>
    <row r="26" spans="2:16" ht="28.35" customHeight="1">
      <c r="B26" s="1" t="s">
        <v>120</v>
      </c>
      <c r="C26" s="9">
        <f>ExpensesSummary[[#Totals],[Estimated]]</f>
        <v>19150.849999999999</v>
      </c>
      <c r="D26" s="9">
        <f>ExpensesSummary[[#Totals],[Total]]</f>
        <v>23174.799999999999</v>
      </c>
    </row>
    <row r="27" spans="2:16" ht="28.35" customHeight="1">
      <c r="B27" s="1" t="s">
        <v>121</v>
      </c>
      <c r="C27" s="9" t="e">
        <f>C25-C26</f>
        <v>#N/A</v>
      </c>
      <c r="D27" s="9" t="e">
        <f>D25-D26</f>
        <v>#N/A</v>
      </c>
    </row>
    <row r="28" spans="2:16" ht="28.35" customHeight="1"/>
    <row r="29" spans="2:16" ht="28.35" customHeight="1">
      <c r="B29" s="53" t="s">
        <v>122</v>
      </c>
      <c r="C29" s="53"/>
      <c r="D29" s="53"/>
      <c r="E29" s="53" t="s">
        <v>123</v>
      </c>
      <c r="F29" s="53"/>
      <c r="G29" s="53"/>
    </row>
    <row r="30" spans="2:16" ht="28.35" customHeight="1"/>
    <row r="31" spans="2:16" ht="28.35" customHeight="1"/>
    <row r="32" spans="2:16" ht="28.35" customHeight="1"/>
    <row r="33" ht="28.35" customHeight="1"/>
  </sheetData>
  <mergeCells count="2">
    <mergeCell ref="B29:D29"/>
    <mergeCell ref="E29:G29"/>
  </mergeCells>
  <phoneticPr fontId="1" type="noConversion"/>
  <dataValidations count="6">
    <dataValidation allowBlank="1" showInputMessage="1" showErrorMessage="1" prompt="Event Name is automatically updated in this cell" sqref="B3" xr:uid="{00000000-0002-0000-0200-000000000000}"/>
    <dataValidation allowBlank="1" showInputMessage="1" showErrorMessage="1" prompt="Table and charts in this worksheet are automatically updated" sqref="A1" xr:uid="{00000000-0002-0000-0200-000001000000}"/>
    <dataValidation allowBlank="1" showInputMessage="1" showErrorMessage="1" prompt="Bar chart summarizing actual expenses in descending order" sqref="F8" xr:uid="{00000000-0002-0000-0200-000002000000}"/>
    <dataValidation allowBlank="1" showInputMessage="1" showErrorMessage="1" prompt="Bar chart summarizing actual income in descending order" sqref="F18" xr:uid="{00000000-0002-0000-0200-000003000000}"/>
    <dataValidation allowBlank="1" showInputMessage="1" showErrorMessage="1" prompt="Bar chart comparing Expenses to Profit (Loss) ratio of estimate vs actual" sqref="B30" xr:uid="{00000000-0002-0000-0200-000004000000}"/>
    <dataValidation allowBlank="1" showInputMessage="1" showErrorMessage="1" prompt="Bar chart comparing estimated and actual costs for income and expenses" sqref="F30" xr:uid="{00000000-0002-0000-0200-000005000000}"/>
  </dataValidations>
  <printOptions horizontalCentered="1"/>
  <pageMargins left="0.3" right="0.3" top="0.5" bottom="0.5" header="0.3" footer="0.3"/>
  <pageSetup orientation="portrait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58da9-eddc-40b3-a3e4-f4ed2eb4c2ea" xsi:nil="true"/>
    <lcf76f155ced4ddcb4097134ff3c332f xmlns="4f66800e-b8c8-4f1d-9966-46ed6851c537">
      <Terms xmlns="http://schemas.microsoft.com/office/infopath/2007/PartnerControls"/>
    </lcf76f155ced4ddcb4097134ff3c332f>
    <Logo xmlns="4f66800e-b8c8-4f1d-9966-46ed6851c5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4A034-45D1-4C16-9CBA-FF2650166108}"/>
</file>

<file path=customXml/itemProps2.xml><?xml version="1.0" encoding="utf-8"?>
<ds:datastoreItem xmlns:ds="http://schemas.openxmlformats.org/officeDocument/2006/customXml" ds:itemID="{6C9C695F-1FEB-4326-ADC5-6E0B2C88C046}"/>
</file>

<file path=customXml/itemProps3.xml><?xml version="1.0" encoding="utf-8"?>
<ds:datastoreItem xmlns:ds="http://schemas.openxmlformats.org/officeDocument/2006/customXml" ds:itemID="{E6DDCB3D-563B-4833-882D-D632FEF5489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TM16410203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Hein</cp:lastModifiedBy>
  <cp:revision/>
  <dcterms:created xsi:type="dcterms:W3CDTF">2022-12-01T06:05:32Z</dcterms:created>
  <dcterms:modified xsi:type="dcterms:W3CDTF">2026-03-31T21:06:07Z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