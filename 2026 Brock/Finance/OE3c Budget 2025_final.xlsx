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3" documentId="11_C29EEF2234444EBD6B0D948832214789A5D80930" xr6:coauthVersionLast="47" xr6:coauthVersionMax="47" xr10:uidLastSave="{C91D425B-C4CB-4DA5-860E-9860ABA612BB}"/>
  <bookViews>
    <workbookView xWindow="0" yWindow="0" windowWidth="0" windowHeight="0" xr2:uid="{00000000-000D-0000-FFFF-FFFF00000000}"/>
  </bookViews>
  <sheets>
    <sheet name="Updated Budg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" i="1" l="1"/>
  <c r="F145" i="1"/>
  <c r="F144" i="1"/>
  <c r="D143" i="1"/>
  <c r="F136" i="1"/>
  <c r="F135" i="1"/>
  <c r="D135" i="1"/>
  <c r="F134" i="1"/>
  <c r="F156" i="1" s="1"/>
  <c r="F130" i="1"/>
  <c r="F124" i="1"/>
  <c r="F178" i="1" s="1"/>
  <c r="D112" i="1"/>
  <c r="F103" i="1"/>
  <c r="D99" i="1"/>
  <c r="D98" i="1"/>
  <c r="F91" i="1"/>
  <c r="F90" i="1"/>
  <c r="F86" i="1"/>
  <c r="F83" i="1"/>
  <c r="F80" i="1"/>
  <c r="F79" i="1"/>
  <c r="F78" i="1"/>
  <c r="F74" i="1"/>
  <c r="F70" i="1"/>
  <c r="F68" i="1"/>
  <c r="F65" i="1"/>
  <c r="F64" i="1"/>
  <c r="F63" i="1"/>
  <c r="F62" i="1"/>
  <c r="F75" i="1" s="1"/>
  <c r="F57" i="1"/>
  <c r="F55" i="1"/>
  <c r="F54" i="1"/>
  <c r="F53" i="1"/>
  <c r="F60" i="1" s="1"/>
  <c r="F49" i="1"/>
  <c r="D48" i="1"/>
  <c r="D47" i="1"/>
  <c r="D46" i="1"/>
  <c r="D44" i="1"/>
  <c r="F31" i="1"/>
  <c r="F21" i="1"/>
  <c r="E12" i="1"/>
  <c r="D11" i="1"/>
  <c r="F11" i="1" s="1"/>
  <c r="D10" i="1"/>
  <c r="F10" i="1" s="1"/>
  <c r="D9" i="1"/>
  <c r="F9" i="1" s="1"/>
  <c r="F12" i="1" s="1"/>
  <c r="G12" i="1" l="1"/>
  <c r="F14" i="1" s="1"/>
  <c r="F37" i="1" s="1"/>
  <c r="F94" i="1"/>
  <c r="F105" i="1" s="1"/>
  <c r="F180" i="1" s="1"/>
  <c r="F183" i="1" s="1"/>
  <c r="F185" i="1" l="1"/>
  <c r="F188" i="1" s="1"/>
</calcChain>
</file>

<file path=xl/sharedStrings.xml><?xml version="1.0" encoding="utf-8"?>
<sst xmlns="http://schemas.openxmlformats.org/spreadsheetml/2006/main" count="197" uniqueCount="163">
  <si>
    <t>ALL VALUES IN $CAD</t>
  </si>
  <si>
    <t>Ontario Ecology, Ethology, and Evolution Colloquium</t>
  </si>
  <si>
    <t>Estimated Income Calculations</t>
  </si>
  <si>
    <t>2024/2025</t>
  </si>
  <si>
    <t>REVENUE</t>
  </si>
  <si>
    <t xml:space="preserve">Registrations Revenue </t>
  </si>
  <si>
    <t>Type of Registration</t>
  </si>
  <si>
    <t>Price per Registrant</t>
  </si>
  <si>
    <t># of Registrants</t>
  </si>
  <si>
    <t>Total Line Revenue</t>
  </si>
  <si>
    <t>Notes</t>
  </si>
  <si>
    <t>Undergrad + Grad</t>
  </si>
  <si>
    <t>$190 after tax</t>
  </si>
  <si>
    <t>Post-Doc</t>
  </si>
  <si>
    <t>$225 after tax</t>
  </si>
  <si>
    <t xml:space="preserve">Faculty </t>
  </si>
  <si>
    <t>$250 after tax</t>
  </si>
  <si>
    <t>SUBTOTAL</t>
  </si>
  <si>
    <t>Carleton Credit Charge</t>
  </si>
  <si>
    <t>REGISTRATION NET</t>
  </si>
  <si>
    <t>Internal Funder</t>
  </si>
  <si>
    <t>Funded Amount</t>
  </si>
  <si>
    <t>Carleton Faculty of Science</t>
  </si>
  <si>
    <t>Carleton Faculty of Environment</t>
  </si>
  <si>
    <t>Carleton Biology</t>
  </si>
  <si>
    <t>Carleton Graduate Studies and Postdoctoral Affairs</t>
  </si>
  <si>
    <t>FUNDING TOTALS</t>
  </si>
  <si>
    <t>Sponsorship Revenue</t>
  </si>
  <si>
    <t>Funder</t>
  </si>
  <si>
    <t>Canadian Section of the Wildlife Society</t>
  </si>
  <si>
    <t>Received</t>
  </si>
  <si>
    <t xml:space="preserve">The Comparative Cognition Society </t>
  </si>
  <si>
    <t xml:space="preserve">Received </t>
  </si>
  <si>
    <t>American Fisheries Society: Ontario Chapter</t>
  </si>
  <si>
    <t xml:space="preserve">American Genetic Association </t>
  </si>
  <si>
    <t>Canadian Society of Ecology and Evolution</t>
  </si>
  <si>
    <t>Canadian Herpetelogical Society</t>
  </si>
  <si>
    <t>Company of biologists</t>
  </si>
  <si>
    <t xml:space="preserve"> SPONSORSHIP TOTALS</t>
  </si>
  <si>
    <t>Other Revenue</t>
  </si>
  <si>
    <t xml:space="preserve">University of Waterloo Seed Fund </t>
  </si>
  <si>
    <t>TOTAL REVENUE</t>
  </si>
  <si>
    <t>COSTS</t>
  </si>
  <si>
    <t>Variable Costs</t>
  </si>
  <si>
    <t>Category</t>
  </si>
  <si>
    <t>Type</t>
  </si>
  <si>
    <t>Items</t>
  </si>
  <si>
    <t>Price Per Unit (PPU)</t>
  </si>
  <si>
    <t>Amount</t>
  </si>
  <si>
    <t>Promotional Materials</t>
  </si>
  <si>
    <t>Buttons</t>
  </si>
  <si>
    <t>Free</t>
  </si>
  <si>
    <t>Stickers</t>
  </si>
  <si>
    <t>Shirts (for volunteers)</t>
  </si>
  <si>
    <t>Seed Notes (Seeded Memories)</t>
  </si>
  <si>
    <t>Lanyards</t>
  </si>
  <si>
    <t>Name tag holders</t>
  </si>
  <si>
    <t>Subtotal</t>
  </si>
  <si>
    <t>Catering</t>
  </si>
  <si>
    <t>Thursday Catering</t>
  </si>
  <si>
    <t>Coffee Break</t>
  </si>
  <si>
    <t>Coffee</t>
  </si>
  <si>
    <t>Thursday Dinner</t>
  </si>
  <si>
    <t>Thursday Subtotal</t>
  </si>
  <si>
    <t>Friday Catering</t>
  </si>
  <si>
    <t>Friday Breakfast</t>
  </si>
  <si>
    <t>Sandwiches/Wrap</t>
  </si>
  <si>
    <t>Fruit</t>
  </si>
  <si>
    <t>Friday Lunch</t>
  </si>
  <si>
    <t>Lunch box</t>
  </si>
  <si>
    <t>Friday Dinner</t>
  </si>
  <si>
    <t>Dinner (Gift card)</t>
  </si>
  <si>
    <t>Friday Subtotal</t>
  </si>
  <si>
    <t>Saturday Catering</t>
  </si>
  <si>
    <t>Saturday Breakfast</t>
  </si>
  <si>
    <t>Saturday Lunch</t>
  </si>
  <si>
    <t>Saturday Dinner</t>
  </si>
  <si>
    <t>dinner</t>
  </si>
  <si>
    <t>Saturday Subtotal</t>
  </si>
  <si>
    <t>Catering Total</t>
  </si>
  <si>
    <t>Excursions/trvia</t>
  </si>
  <si>
    <t>entrance fee museum</t>
  </si>
  <si>
    <t>mudlake bus</t>
  </si>
  <si>
    <t>honourarium AJ</t>
  </si>
  <si>
    <t>MEC gift card  for Owen Clarkin</t>
  </si>
  <si>
    <t>honourarium matthew</t>
  </si>
  <si>
    <t>VARIABLE COST TOTAL</t>
  </si>
  <si>
    <t>Fixed Costs</t>
  </si>
  <si>
    <t>PPU</t>
  </si>
  <si>
    <t># of items</t>
  </si>
  <si>
    <t>Miscellaneous</t>
  </si>
  <si>
    <t xml:space="preserve">Website </t>
  </si>
  <si>
    <t>Wix premium</t>
  </si>
  <si>
    <t>12 months</t>
  </si>
  <si>
    <t>domain</t>
  </si>
  <si>
    <t>Logo design</t>
  </si>
  <si>
    <t>Sofia Parra - designer</t>
  </si>
  <si>
    <t>Memberships</t>
  </si>
  <si>
    <t>CSEE +AGA</t>
  </si>
  <si>
    <t>Supplies</t>
  </si>
  <si>
    <t>walmart supply run (nametag paper, lamination, clipboards)</t>
  </si>
  <si>
    <t xml:space="preserve">costco snack run </t>
  </si>
  <si>
    <t>dollarama (poster sticks, garbage bags, plates, platters etc)</t>
  </si>
  <si>
    <t>walmart(printer paper)</t>
  </si>
  <si>
    <t>nat food pantry (chocolate for grad adminstrater)</t>
  </si>
  <si>
    <t>ottawa loves local (gifts for grad administrater)</t>
  </si>
  <si>
    <t>banhmi yes for volunteers that stayed late to organize</t>
  </si>
  <si>
    <t>dollarama run</t>
  </si>
  <si>
    <t>(giftbags, tape, clipboards)</t>
  </si>
  <si>
    <t>Venue</t>
  </si>
  <si>
    <t>Facility Services</t>
  </si>
  <si>
    <t>Galleria</t>
  </si>
  <si>
    <t>Facility rental</t>
  </si>
  <si>
    <t>FMP</t>
  </si>
  <si>
    <t>table setup</t>
  </si>
  <si>
    <t>Plenaries</t>
  </si>
  <si>
    <t>Travel</t>
  </si>
  <si>
    <t>(per km)</t>
  </si>
  <si>
    <t># of km roundtrip</t>
  </si>
  <si>
    <t>Mileage for personal vehicles or train</t>
  </si>
  <si>
    <t xml:space="preserve">Plenary 1 </t>
  </si>
  <si>
    <t>gas</t>
  </si>
  <si>
    <t>Plenary 2</t>
  </si>
  <si>
    <t>mileage</t>
  </si>
  <si>
    <t xml:space="preserve">Plenary 3 </t>
  </si>
  <si>
    <t>train+ bus</t>
  </si>
  <si>
    <t xml:space="preserve">Local Travel </t>
  </si>
  <si>
    <t>light rail tickets x6</t>
  </si>
  <si>
    <t xml:space="preserve">Plenary 2 </t>
  </si>
  <si>
    <t>Parking</t>
  </si>
  <si>
    <t>Accomodations</t>
  </si>
  <si>
    <t>(per night (incl tax))</t>
  </si>
  <si>
    <t># nights</t>
  </si>
  <si>
    <t>Hotels (Best Western)</t>
  </si>
  <si>
    <t>Plenary 1</t>
  </si>
  <si>
    <t>soho</t>
  </si>
  <si>
    <t>including tax</t>
  </si>
  <si>
    <t>Plenary 3</t>
  </si>
  <si>
    <t>Additional Food Expenses</t>
  </si>
  <si>
    <t>Gifts</t>
  </si>
  <si>
    <t>All Plenary</t>
  </si>
  <si>
    <t>Prizes</t>
  </si>
  <si>
    <t>Best Undergrad Talk</t>
  </si>
  <si>
    <t xml:space="preserve">runner up undergrad talk </t>
  </si>
  <si>
    <t>Best Masters Talk</t>
  </si>
  <si>
    <t>Runner up Masters Talk</t>
  </si>
  <si>
    <t>Best PhD talk</t>
  </si>
  <si>
    <t>Runner up PhD talk</t>
  </si>
  <si>
    <t>Best Grad Poster</t>
  </si>
  <si>
    <t>runner up grad poster</t>
  </si>
  <si>
    <t>Best Undergrad Poster</t>
  </si>
  <si>
    <t>Runner up Undergrad Poster</t>
  </si>
  <si>
    <t>Herpetology talk</t>
  </si>
  <si>
    <t>herpetology talk</t>
  </si>
  <si>
    <t>Travel Need Award</t>
  </si>
  <si>
    <t xml:space="preserve">company of biologist travel grant </t>
  </si>
  <si>
    <t>To Jess benedict</t>
  </si>
  <si>
    <t xml:space="preserve">Travel Bursary </t>
  </si>
  <si>
    <t>FIXED COST TOTAL</t>
  </si>
  <si>
    <t>TOTAL COSTS</t>
  </si>
  <si>
    <t>10% Contingency</t>
  </si>
  <si>
    <t>Net</t>
  </si>
  <si>
    <t>Total 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</si>
</sst>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-409]* #,##0.00_);_([$$-409]* \(#,##0.00\);_([$$-409]* &quot;-&quot;??_);_(@_)"/>
    <numFmt numFmtId="165" formatCode="_-&quot;$&quot;* #,##0.00_-;\-&quot;$&quot;* #,##0.00_-;_-&quot;$&quot;* &quot;-&quot;??_-;_-@"/>
    <numFmt numFmtId="166" formatCode="_(&quot;$&quot;* #,##0.00_);_(&quot;$&quot;* \(#,##0.00\);_(&quot;$&quot;* &quot;-&quot;??_);_(@_)"/>
    <numFmt numFmtId="167" formatCode="&quot;$&quot;#,##0.00"/>
  </numFmts>
  <fonts count="16">
    <font>
      <sz val="11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rgb="FF000000"/>
      <name val="Calibri"/>
    </font>
    <font>
      <sz val="12"/>
      <color theme="1"/>
      <name val="Arial"/>
    </font>
    <font>
      <b/>
      <sz val="14"/>
      <color theme="1"/>
      <name val="Calibri"/>
    </font>
    <font>
      <b/>
      <sz val="12"/>
      <color rgb="FF000000"/>
      <name val="Calibri"/>
    </font>
    <font>
      <b/>
      <i/>
      <sz val="12"/>
      <color theme="1"/>
      <name val="Calibri"/>
    </font>
    <font>
      <b/>
      <sz val="11"/>
      <color theme="1"/>
      <name val="Calibri"/>
      <scheme val="minor"/>
    </font>
    <font>
      <sz val="11"/>
      <color rgb="FF222222"/>
      <name val="Arial"/>
    </font>
    <font>
      <sz val="8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4" fillId="7" borderId="1" xfId="0" applyFont="1" applyFill="1" applyBorder="1"/>
    <xf numFmtId="164" fontId="4" fillId="7" borderId="1" xfId="0" applyNumberFormat="1" applyFont="1" applyFill="1" applyBorder="1"/>
    <xf numFmtId="165" fontId="1" fillId="0" borderId="0" xfId="0" applyNumberFormat="1" applyFont="1"/>
    <xf numFmtId="0" fontId="1" fillId="0" borderId="2" xfId="0" applyFont="1" applyBorder="1"/>
    <xf numFmtId="164" fontId="1" fillId="0" borderId="2" xfId="0" applyNumberFormat="1" applyFont="1" applyBorder="1"/>
    <xf numFmtId="0" fontId="5" fillId="0" borderId="0" xfId="0" applyFont="1"/>
    <xf numFmtId="164" fontId="4" fillId="0" borderId="0" xfId="0" applyNumberFormat="1" applyFont="1"/>
    <xf numFmtId="0" fontId="4" fillId="0" borderId="0" xfId="0" applyFont="1"/>
    <xf numFmtId="164" fontId="5" fillId="0" borderId="0" xfId="0" applyNumberFormat="1" applyFont="1"/>
    <xf numFmtId="164" fontId="6" fillId="0" borderId="0" xfId="0" applyNumberFormat="1" applyFont="1"/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4" fillId="7" borderId="1" xfId="0" applyNumberFormat="1" applyFont="1" applyFill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0" fontId="10" fillId="8" borderId="3" xfId="0" applyFont="1" applyFill="1" applyBorder="1" applyAlignment="1">
      <alignment horizontal="center"/>
    </xf>
    <xf numFmtId="164" fontId="10" fillId="8" borderId="3" xfId="0" applyNumberFormat="1" applyFont="1" applyFill="1" applyBorder="1" applyAlignment="1">
      <alignment horizontal="center"/>
    </xf>
    <xf numFmtId="164" fontId="11" fillId="7" borderId="1" xfId="0" applyNumberFormat="1" applyFont="1" applyFill="1" applyBorder="1"/>
    <xf numFmtId="166" fontId="1" fillId="0" borderId="0" xfId="0" applyNumberFormat="1" applyFont="1"/>
    <xf numFmtId="0" fontId="6" fillId="0" borderId="0" xfId="0" applyFont="1"/>
    <xf numFmtId="165" fontId="6" fillId="0" borderId="0" xfId="0" applyNumberFormat="1" applyFont="1"/>
    <xf numFmtId="0" fontId="1" fillId="0" borderId="0" xfId="0" applyFont="1" applyAlignment="1">
      <alignment horizontal="right"/>
    </xf>
    <xf numFmtId="164" fontId="12" fillId="0" borderId="2" xfId="0" applyNumberFormat="1" applyFont="1" applyBorder="1"/>
    <xf numFmtId="164" fontId="4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4" xfId="0" applyFont="1" applyBorder="1"/>
    <xf numFmtId="0" fontId="6" fillId="0" borderId="5" xfId="0" applyFont="1" applyBorder="1"/>
    <xf numFmtId="164" fontId="4" fillId="0" borderId="5" xfId="0" applyNumberFormat="1" applyFont="1" applyBorder="1" applyAlignment="1">
      <alignment horizontal="right"/>
    </xf>
    <xf numFmtId="0" fontId="4" fillId="0" borderId="1" xfId="0" applyFont="1" applyBorder="1"/>
    <xf numFmtId="164" fontId="4" fillId="0" borderId="1" xfId="0" applyNumberFormat="1" applyFont="1" applyBorder="1"/>
    <xf numFmtId="0" fontId="13" fillId="0" borderId="0" xfId="0" applyFont="1"/>
    <xf numFmtId="167" fontId="7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8" fillId="0" borderId="0" xfId="0" applyFont="1"/>
    <xf numFmtId="0" fontId="14" fillId="0" borderId="0" xfId="0" applyFont="1"/>
    <xf numFmtId="164" fontId="1" fillId="0" borderId="0" xfId="0" applyNumberFormat="1" applyFont="1" applyAlignment="1">
      <alignment horizontal="left"/>
    </xf>
    <xf numFmtId="0" fontId="4" fillId="7" borderId="4" xfId="0" applyFont="1" applyFill="1" applyBorder="1"/>
    <xf numFmtId="0" fontId="1" fillId="7" borderId="5" xfId="0" applyFont="1" applyFill="1" applyBorder="1"/>
    <xf numFmtId="164" fontId="4" fillId="7" borderId="5" xfId="0" applyNumberFormat="1" applyFont="1" applyFill="1" applyBorder="1"/>
    <xf numFmtId="4" fontId="15" fillId="0" borderId="0" xfId="0" applyNumberFormat="1" applyFont="1" applyAlignment="1">
      <alignment horizontal="right"/>
    </xf>
    <xf numFmtId="0" fontId="4" fillId="8" borderId="3" xfId="0" applyFont="1" applyFill="1" applyBorder="1" applyAlignment="1">
      <alignment horizontal="center"/>
    </xf>
    <xf numFmtId="164" fontId="4" fillId="8" borderId="3" xfId="0" applyNumberFormat="1" applyFont="1" applyFill="1" applyBorder="1"/>
    <xf numFmtId="0" fontId="11" fillId="0" borderId="0" xfId="0" applyFont="1"/>
    <xf numFmtId="0" fontId="4" fillId="0" borderId="5" xfId="0" applyFont="1" applyBorder="1"/>
    <xf numFmtId="164" fontId="5" fillId="0" borderId="5" xfId="0" applyNumberFormat="1" applyFont="1" applyBorder="1"/>
    <xf numFmtId="0" fontId="5" fillId="0" borderId="5" xfId="0" applyFont="1" applyBorder="1"/>
    <xf numFmtId="164" fontId="4" fillId="0" borderId="5" xfId="0" applyNumberFormat="1" applyFont="1" applyBorder="1"/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164" fontId="4" fillId="0" borderId="5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2" fillId="0" borderId="5" xfId="0" applyNumberFormat="1" applyFont="1" applyBorder="1"/>
    <xf numFmtId="164" fontId="12" fillId="0" borderId="4" xfId="0" applyNumberFormat="1" applyFont="1" applyBorder="1"/>
    <xf numFmtId="164" fontId="6" fillId="0" borderId="5" xfId="0" applyNumberFormat="1" applyFont="1" applyBorder="1"/>
    <xf numFmtId="164" fontId="12" fillId="0" borderId="5" xfId="0" applyNumberFormat="1" applyFont="1" applyBorder="1" applyAlignment="1">
      <alignment horizontal="right"/>
    </xf>
    <xf numFmtId="165" fontId="4" fillId="0" borderId="4" xfId="0" applyNumberFormat="1" applyFont="1" applyBorder="1"/>
    <xf numFmtId="0" fontId="4" fillId="6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1"/>
  <sheetViews>
    <sheetView tabSelected="1" topLeftCell="A153" workbookViewId="0">
      <selection activeCell="G178" sqref="G178"/>
    </sheetView>
  </sheetViews>
  <sheetFormatPr defaultColWidth="14.42578125" defaultRowHeight="15" customHeight="1"/>
  <cols>
    <col min="1" max="1" width="65.7109375" customWidth="1"/>
    <col min="4" max="4" width="22.7109375" customWidth="1"/>
    <col min="5" max="5" width="19" customWidth="1"/>
    <col min="6" max="6" width="20" customWidth="1"/>
    <col min="7" max="7" width="14" customWidth="1"/>
  </cols>
  <sheetData>
    <row r="1" spans="1:9">
      <c r="A1" s="1" t="s">
        <v>0</v>
      </c>
      <c r="B1" s="1"/>
      <c r="C1" s="1"/>
      <c r="D1" s="1"/>
      <c r="E1" s="1"/>
      <c r="F1" s="2"/>
      <c r="G1" s="2"/>
      <c r="H1" s="2"/>
      <c r="I1" s="1"/>
    </row>
    <row r="2" spans="1:9">
      <c r="A2" s="72" t="s">
        <v>1</v>
      </c>
      <c r="B2" s="75"/>
      <c r="C2" s="75"/>
      <c r="D2" s="75"/>
      <c r="E2" s="75"/>
      <c r="F2" s="75"/>
      <c r="G2" s="75"/>
      <c r="H2" s="75"/>
      <c r="I2" s="75"/>
    </row>
    <row r="3" spans="1:9">
      <c r="A3" s="73" t="s">
        <v>2</v>
      </c>
      <c r="B3" s="75"/>
      <c r="C3" s="75"/>
      <c r="D3" s="75"/>
      <c r="E3" s="75"/>
      <c r="F3" s="75"/>
      <c r="G3" s="75"/>
      <c r="H3" s="75"/>
      <c r="I3" s="75"/>
    </row>
    <row r="4" spans="1:9">
      <c r="A4" s="74" t="s">
        <v>3</v>
      </c>
      <c r="B4" s="75"/>
      <c r="C4" s="75"/>
      <c r="D4" s="75"/>
      <c r="E4" s="75"/>
      <c r="F4" s="75"/>
      <c r="G4" s="75"/>
      <c r="H4" s="75"/>
      <c r="I4" s="75"/>
    </row>
    <row r="5" spans="1:9">
      <c r="A5" s="1"/>
      <c r="B5" s="1"/>
      <c r="C5" s="1"/>
      <c r="D5" s="1"/>
      <c r="E5" s="1"/>
      <c r="F5" s="2"/>
      <c r="G5" s="2"/>
      <c r="H5" s="2"/>
      <c r="I5" s="1"/>
    </row>
    <row r="6" spans="1:9">
      <c r="A6" s="70" t="s">
        <v>4</v>
      </c>
      <c r="B6" s="75"/>
      <c r="C6" s="75"/>
      <c r="D6" s="75"/>
      <c r="E6" s="75"/>
      <c r="F6" s="75"/>
      <c r="G6" s="75"/>
      <c r="H6" s="75"/>
      <c r="I6" s="75"/>
    </row>
    <row r="7" spans="1:9">
      <c r="A7" s="68" t="s">
        <v>5</v>
      </c>
      <c r="B7" s="75"/>
      <c r="C7" s="75"/>
      <c r="D7" s="75"/>
      <c r="E7" s="75"/>
      <c r="F7" s="75"/>
      <c r="G7" s="75"/>
      <c r="H7" s="75"/>
      <c r="I7" s="75"/>
    </row>
    <row r="8" spans="1:9">
      <c r="A8" s="3" t="s">
        <v>6</v>
      </c>
      <c r="B8" s="3"/>
      <c r="C8" s="3"/>
      <c r="D8" s="3" t="s">
        <v>7</v>
      </c>
      <c r="E8" s="3" t="s">
        <v>8</v>
      </c>
      <c r="F8" s="4" t="s">
        <v>9</v>
      </c>
      <c r="G8" s="4" t="s">
        <v>10</v>
      </c>
      <c r="H8" s="4"/>
      <c r="I8" s="4"/>
    </row>
    <row r="9" spans="1:9">
      <c r="A9" s="1" t="s">
        <v>11</v>
      </c>
      <c r="B9" s="1"/>
      <c r="C9" s="1"/>
      <c r="D9" s="5">
        <f>190/1.13</f>
        <v>168.14159292035399</v>
      </c>
      <c r="E9" s="1">
        <v>44</v>
      </c>
      <c r="F9" s="2">
        <f t="shared" ref="F9:F11" si="0">D9*E9</f>
        <v>7398.2300884955757</v>
      </c>
      <c r="G9" s="1" t="s">
        <v>12</v>
      </c>
      <c r="H9" s="2"/>
      <c r="I9" s="1"/>
    </row>
    <row r="10" spans="1:9">
      <c r="A10" s="1" t="s">
        <v>13</v>
      </c>
      <c r="B10" s="1"/>
      <c r="C10" s="1"/>
      <c r="D10" s="5">
        <f>225/1.13</f>
        <v>199.11504424778764</v>
      </c>
      <c r="E10" s="1">
        <v>2</v>
      </c>
      <c r="F10" s="2">
        <f t="shared" si="0"/>
        <v>398.23008849557527</v>
      </c>
      <c r="G10" s="1" t="s">
        <v>14</v>
      </c>
      <c r="H10" s="2"/>
      <c r="I10" s="1"/>
    </row>
    <row r="11" spans="1:9">
      <c r="A11" s="1" t="s">
        <v>15</v>
      </c>
      <c r="B11" s="1"/>
      <c r="C11" s="1"/>
      <c r="D11" s="5">
        <f>250/1.13</f>
        <v>221.23893805309737</v>
      </c>
      <c r="E11" s="6">
        <v>5</v>
      </c>
      <c r="F11" s="7">
        <f t="shared" si="0"/>
        <v>1106.1946902654868</v>
      </c>
      <c r="G11" s="1" t="s">
        <v>16</v>
      </c>
      <c r="H11" s="2"/>
      <c r="I11" s="1"/>
    </row>
    <row r="12" spans="1:9">
      <c r="A12" s="1"/>
      <c r="B12" s="1"/>
      <c r="C12" s="1"/>
      <c r="D12" s="8" t="s">
        <v>17</v>
      </c>
      <c r="E12" s="55">
        <f t="shared" ref="E12:F12" si="1">SUM(E9:E11)</f>
        <v>51</v>
      </c>
      <c r="F12" s="56">
        <f t="shared" si="1"/>
        <v>8902.6548672566387</v>
      </c>
      <c r="G12" s="9">
        <f>0.015*(F12) + 0.5*(E12)</f>
        <v>159.03982300884957</v>
      </c>
      <c r="H12" s="9" t="s">
        <v>18</v>
      </c>
      <c r="I12" s="1"/>
    </row>
    <row r="13" spans="1:9">
      <c r="D13" s="10"/>
      <c r="E13" s="8"/>
      <c r="F13" s="11"/>
    </row>
    <row r="14" spans="1:9">
      <c r="D14" s="36" t="s">
        <v>19</v>
      </c>
      <c r="E14" s="57"/>
      <c r="F14" s="58">
        <f>F12-G12</f>
        <v>8743.6150442477883</v>
      </c>
    </row>
    <row r="15" spans="1:9">
      <c r="F15" s="12"/>
    </row>
    <row r="16" spans="1:9">
      <c r="A16" s="13" t="s">
        <v>20</v>
      </c>
      <c r="B16" s="13"/>
      <c r="C16" s="13"/>
      <c r="D16" s="14"/>
      <c r="E16" s="14"/>
      <c r="F16" s="4" t="s">
        <v>21</v>
      </c>
    </row>
    <row r="17" spans="1:6">
      <c r="A17" s="15" t="s">
        <v>22</v>
      </c>
      <c r="B17" s="15"/>
      <c r="C17" s="15"/>
      <c r="D17" s="15"/>
      <c r="E17" s="1"/>
      <c r="F17" s="2"/>
    </row>
    <row r="18" spans="1:6">
      <c r="A18" s="15" t="s">
        <v>23</v>
      </c>
      <c r="B18" s="16"/>
      <c r="C18" s="15"/>
      <c r="D18" s="1"/>
      <c r="E18" s="16"/>
      <c r="F18" s="2">
        <v>0</v>
      </c>
    </row>
    <row r="19" spans="1:6">
      <c r="A19" s="15" t="s">
        <v>24</v>
      </c>
      <c r="B19" s="16"/>
      <c r="C19" s="15"/>
      <c r="D19" s="1"/>
      <c r="E19" s="16"/>
      <c r="F19" s="2">
        <v>1000</v>
      </c>
    </row>
    <row r="20" spans="1:6">
      <c r="A20" s="15" t="s">
        <v>25</v>
      </c>
      <c r="B20" s="16"/>
      <c r="C20" s="15"/>
      <c r="D20" s="1"/>
      <c r="E20" s="16"/>
      <c r="F20" s="2">
        <v>0</v>
      </c>
    </row>
    <row r="21" spans="1:6">
      <c r="A21" s="16"/>
      <c r="B21" s="16"/>
      <c r="C21" s="16"/>
      <c r="D21" s="59" t="s">
        <v>26</v>
      </c>
      <c r="E21" s="60"/>
      <c r="F21" s="61">
        <f>SUM(F17:F20)</f>
        <v>1000</v>
      </c>
    </row>
    <row r="22" spans="1:6">
      <c r="A22" s="68" t="s">
        <v>27</v>
      </c>
      <c r="B22" s="75"/>
      <c r="C22" s="75"/>
      <c r="D22" s="75"/>
      <c r="E22" s="75"/>
      <c r="F22" s="75"/>
    </row>
    <row r="23" spans="1:6">
      <c r="A23" s="13" t="s">
        <v>28</v>
      </c>
      <c r="B23" s="13"/>
      <c r="C23" s="13"/>
      <c r="D23" s="14"/>
      <c r="E23" s="14"/>
      <c r="F23" s="17" t="s">
        <v>21</v>
      </c>
    </row>
    <row r="24" spans="1:6">
      <c r="A24" s="18" t="s">
        <v>29</v>
      </c>
      <c r="B24" s="19" t="s">
        <v>30</v>
      </c>
      <c r="C24" s="16"/>
      <c r="D24" s="16"/>
      <c r="E24" s="20"/>
      <c r="F24" s="21">
        <v>250</v>
      </c>
    </row>
    <row r="25" spans="1:6">
      <c r="A25" s="22" t="s">
        <v>31</v>
      </c>
      <c r="B25" s="19" t="s">
        <v>32</v>
      </c>
      <c r="C25" s="16"/>
      <c r="D25" s="16"/>
      <c r="E25" s="20"/>
      <c r="F25" s="21">
        <v>256</v>
      </c>
    </row>
    <row r="26" spans="1:6">
      <c r="A26" s="15" t="s">
        <v>33</v>
      </c>
      <c r="B26" s="19" t="s">
        <v>30</v>
      </c>
      <c r="C26" s="16"/>
      <c r="D26" s="16"/>
      <c r="E26" s="20"/>
      <c r="F26" s="21">
        <v>500</v>
      </c>
    </row>
    <row r="27" spans="1:6">
      <c r="A27" s="15" t="s">
        <v>34</v>
      </c>
      <c r="B27" s="19" t="s">
        <v>30</v>
      </c>
      <c r="C27" s="16"/>
      <c r="D27" s="16"/>
      <c r="E27" s="20"/>
      <c r="F27" s="21">
        <v>8926.9949557522086</v>
      </c>
    </row>
    <row r="28" spans="1:6">
      <c r="A28" s="15" t="s">
        <v>35</v>
      </c>
      <c r="B28" s="19" t="s">
        <v>30</v>
      </c>
      <c r="C28" s="16"/>
      <c r="D28" s="16"/>
      <c r="E28" s="20"/>
      <c r="F28" s="21">
        <v>600</v>
      </c>
    </row>
    <row r="29" spans="1:6">
      <c r="A29" s="15" t="s">
        <v>36</v>
      </c>
      <c r="B29" s="19"/>
      <c r="C29" s="16"/>
      <c r="D29" s="16"/>
      <c r="E29" s="20"/>
      <c r="F29" s="21">
        <v>500</v>
      </c>
    </row>
    <row r="30" spans="1:6">
      <c r="A30" s="15" t="s">
        <v>37</v>
      </c>
      <c r="B30" s="19"/>
      <c r="C30" s="16"/>
      <c r="D30" s="16"/>
      <c r="E30" s="20"/>
      <c r="F30" s="21">
        <v>1838.9</v>
      </c>
    </row>
    <row r="31" spans="1:6">
      <c r="A31" s="16"/>
      <c r="B31" s="16"/>
      <c r="C31" s="16"/>
      <c r="D31" s="59" t="s">
        <v>38</v>
      </c>
      <c r="E31" s="60"/>
      <c r="F31" s="61">
        <f>SUM(F24:F30)</f>
        <v>12871.894955752208</v>
      </c>
    </row>
    <row r="32" spans="1:6">
      <c r="A32" s="16"/>
      <c r="B32" s="16"/>
      <c r="C32" s="16"/>
      <c r="D32" s="16"/>
      <c r="E32" s="20"/>
      <c r="F32" s="23"/>
    </row>
    <row r="33" spans="1:9">
      <c r="A33" s="68" t="s">
        <v>39</v>
      </c>
      <c r="B33" s="75"/>
      <c r="C33" s="75"/>
      <c r="D33" s="75"/>
      <c r="E33" s="75"/>
      <c r="F33" s="75"/>
    </row>
    <row r="34" spans="1:9">
      <c r="A34" s="13" t="s">
        <v>28</v>
      </c>
      <c r="B34" s="13"/>
      <c r="C34" s="13"/>
      <c r="D34" s="14"/>
      <c r="E34" s="14"/>
      <c r="F34" s="17" t="s">
        <v>21</v>
      </c>
    </row>
    <row r="35" spans="1:9">
      <c r="A35" s="15" t="s">
        <v>40</v>
      </c>
      <c r="B35" s="19" t="s">
        <v>30</v>
      </c>
      <c r="C35" s="20"/>
      <c r="D35" s="20"/>
      <c r="E35" s="20"/>
      <c r="F35" s="21">
        <v>19263.66</v>
      </c>
    </row>
    <row r="36" spans="1:9">
      <c r="A36" s="20"/>
      <c r="B36" s="20"/>
      <c r="C36" s="20"/>
      <c r="D36" s="20"/>
      <c r="E36" s="20"/>
      <c r="F36" s="23"/>
    </row>
    <row r="37" spans="1:9">
      <c r="A37" s="62"/>
      <c r="B37" s="62"/>
      <c r="C37" s="62"/>
      <c r="D37" s="62"/>
      <c r="E37" s="24" t="s">
        <v>41</v>
      </c>
      <c r="F37" s="25">
        <f>F14+F21+F35+F31</f>
        <v>41879.17</v>
      </c>
    </row>
    <row r="39" spans="1:9">
      <c r="A39" s="70" t="s">
        <v>42</v>
      </c>
      <c r="B39" s="75"/>
      <c r="C39" s="75"/>
      <c r="D39" s="75"/>
      <c r="E39" s="75"/>
      <c r="F39" s="75"/>
      <c r="G39" s="75"/>
      <c r="H39" s="75"/>
      <c r="I39" s="75"/>
    </row>
    <row r="40" spans="1:9">
      <c r="A40" s="68" t="s">
        <v>43</v>
      </c>
      <c r="B40" s="75"/>
      <c r="C40" s="75"/>
      <c r="D40" s="75"/>
      <c r="E40" s="75"/>
      <c r="F40" s="75"/>
      <c r="G40" s="75"/>
      <c r="H40" s="75"/>
      <c r="I40" s="75"/>
    </row>
    <row r="41" spans="1:9">
      <c r="A41" s="3" t="s">
        <v>44</v>
      </c>
      <c r="B41" s="3" t="s">
        <v>45</v>
      </c>
      <c r="C41" s="3" t="s">
        <v>46</v>
      </c>
      <c r="D41" s="3" t="s">
        <v>47</v>
      </c>
      <c r="E41" s="3" t="s">
        <v>8</v>
      </c>
      <c r="F41" s="4" t="s">
        <v>48</v>
      </c>
      <c r="G41" s="26" t="s">
        <v>10</v>
      </c>
      <c r="H41" s="4"/>
      <c r="I41" s="4"/>
    </row>
    <row r="42" spans="1:9">
      <c r="A42" s="69" t="s">
        <v>49</v>
      </c>
      <c r="B42" s="76"/>
      <c r="C42" s="76"/>
      <c r="D42" s="76"/>
      <c r="E42" s="76"/>
      <c r="F42" s="76"/>
    </row>
    <row r="43" spans="1:9">
      <c r="A43" s="1"/>
      <c r="B43" s="1" t="s">
        <v>50</v>
      </c>
      <c r="C43" s="1">
        <v>65</v>
      </c>
      <c r="D43" s="27" t="s">
        <v>51</v>
      </c>
      <c r="E43" s="1"/>
      <c r="F43" s="2">
        <v>0</v>
      </c>
    </row>
    <row r="44" spans="1:9">
      <c r="A44" s="1"/>
      <c r="B44" s="1" t="s">
        <v>52</v>
      </c>
      <c r="C44" s="1">
        <v>100</v>
      </c>
      <c r="D44" s="27">
        <f>F44/C44</f>
        <v>0.33899999999999997</v>
      </c>
      <c r="E44" s="1"/>
      <c r="F44" s="2">
        <v>33.9</v>
      </c>
    </row>
    <row r="45" spans="1:9">
      <c r="A45" s="1"/>
      <c r="B45" s="1" t="s">
        <v>53</v>
      </c>
      <c r="C45" s="1">
        <v>15</v>
      </c>
      <c r="D45" s="27" t="s">
        <v>51</v>
      </c>
      <c r="E45" s="1"/>
      <c r="F45" s="2">
        <v>0</v>
      </c>
    </row>
    <row r="46" spans="1:9">
      <c r="A46" s="1"/>
      <c r="B46" s="1" t="s">
        <v>54</v>
      </c>
      <c r="C46" s="1">
        <v>60</v>
      </c>
      <c r="D46" s="27">
        <f t="shared" ref="D46:D48" si="2">F46/C46</f>
        <v>1.8080000000000001</v>
      </c>
      <c r="E46" s="1"/>
      <c r="F46" s="2">
        <v>108.48</v>
      </c>
    </row>
    <row r="47" spans="1:9">
      <c r="A47" s="1"/>
      <c r="B47" s="1" t="s">
        <v>55</v>
      </c>
      <c r="C47" s="1">
        <v>100</v>
      </c>
      <c r="D47" s="27">
        <f t="shared" si="2"/>
        <v>0.31629999999999997</v>
      </c>
      <c r="E47" s="1"/>
      <c r="F47" s="2">
        <v>31.63</v>
      </c>
    </row>
    <row r="48" spans="1:9">
      <c r="A48" s="1"/>
      <c r="B48" s="1" t="s">
        <v>56</v>
      </c>
      <c r="C48" s="1">
        <v>100</v>
      </c>
      <c r="D48" s="1">
        <f t="shared" si="2"/>
        <v>0.95369999999999999</v>
      </c>
      <c r="E48" s="1"/>
      <c r="F48" s="2">
        <v>95.37</v>
      </c>
    </row>
    <row r="49" spans="1:6">
      <c r="A49" s="1"/>
      <c r="B49" s="1"/>
      <c r="C49" s="1"/>
      <c r="D49" s="1"/>
      <c r="E49" s="36" t="s">
        <v>57</v>
      </c>
      <c r="F49" s="58">
        <f>SUM(F44,F46,F47,F48)</f>
        <v>269.38</v>
      </c>
    </row>
    <row r="50" spans="1:6">
      <c r="A50" s="1"/>
      <c r="B50" s="1"/>
      <c r="C50" s="1"/>
      <c r="D50" s="1"/>
      <c r="E50" s="10"/>
      <c r="F50" s="9"/>
    </row>
    <row r="51" spans="1:6">
      <c r="A51" s="69" t="s">
        <v>58</v>
      </c>
      <c r="B51" s="76"/>
      <c r="C51" s="76"/>
      <c r="D51" s="76"/>
      <c r="E51" s="76"/>
      <c r="F51" s="76"/>
    </row>
    <row r="52" spans="1:6">
      <c r="A52" s="10" t="s">
        <v>59</v>
      </c>
      <c r="B52" s="28"/>
      <c r="C52" s="28"/>
      <c r="D52" s="28"/>
      <c r="E52" s="28"/>
      <c r="F52" s="12"/>
    </row>
    <row r="53" spans="1:6">
      <c r="A53" s="28"/>
      <c r="B53" s="10" t="s">
        <v>60</v>
      </c>
      <c r="C53" s="28"/>
      <c r="D53" s="29"/>
      <c r="E53" s="28"/>
      <c r="F53" s="9">
        <f>F54</f>
        <v>265.95</v>
      </c>
    </row>
    <row r="54" spans="1:6">
      <c r="A54" s="28"/>
      <c r="B54" s="28"/>
      <c r="C54" s="1" t="s">
        <v>61</v>
      </c>
      <c r="D54" s="5"/>
      <c r="E54" s="30">
        <v>3</v>
      </c>
      <c r="F54" s="2">
        <f>265.95</f>
        <v>265.95</v>
      </c>
    </row>
    <row r="55" spans="1:6">
      <c r="A55" s="28"/>
      <c r="B55" s="28"/>
      <c r="C55" s="1"/>
      <c r="D55" s="5"/>
      <c r="E55" s="30"/>
      <c r="F55" s="2">
        <f>D55*E55</f>
        <v>0</v>
      </c>
    </row>
    <row r="56" spans="1:6">
      <c r="A56" s="28"/>
      <c r="B56" s="28"/>
      <c r="C56" s="1"/>
      <c r="D56" s="5"/>
      <c r="E56" s="30"/>
      <c r="F56" s="2"/>
    </row>
    <row r="57" spans="1:6">
      <c r="A57" s="28"/>
      <c r="B57" s="10" t="s">
        <v>62</v>
      </c>
      <c r="C57" s="28"/>
      <c r="D57" s="29"/>
      <c r="E57" s="28"/>
      <c r="F57" s="9">
        <f>F58</f>
        <v>2768.5</v>
      </c>
    </row>
    <row r="58" spans="1:6">
      <c r="A58" s="28"/>
      <c r="B58" s="28"/>
      <c r="C58" s="1"/>
      <c r="D58" s="5"/>
      <c r="E58" s="30">
        <v>70</v>
      </c>
      <c r="F58" s="2">
        <v>2768.5</v>
      </c>
    </row>
    <row r="59" spans="1:6">
      <c r="A59" s="28"/>
      <c r="B59" s="28"/>
      <c r="C59" s="1"/>
      <c r="D59" s="5"/>
      <c r="E59" s="30"/>
      <c r="F59" s="7"/>
    </row>
    <row r="60" spans="1:6">
      <c r="A60" s="28"/>
      <c r="B60" s="28"/>
      <c r="C60" s="28"/>
      <c r="D60" s="29"/>
      <c r="E60" s="36" t="s">
        <v>63</v>
      </c>
      <c r="F60" s="31">
        <f>F53+F57</f>
        <v>3034.45</v>
      </c>
    </row>
    <row r="61" spans="1:6">
      <c r="A61" s="10" t="s">
        <v>64</v>
      </c>
      <c r="B61" s="28"/>
      <c r="C61" s="28"/>
      <c r="D61" s="29"/>
      <c r="E61" s="28"/>
      <c r="F61" s="12"/>
    </row>
    <row r="62" spans="1:6">
      <c r="A62" s="28"/>
      <c r="B62" s="10" t="s">
        <v>65</v>
      </c>
      <c r="C62" s="28"/>
      <c r="D62" s="29"/>
      <c r="E62" s="28"/>
      <c r="F62" s="9">
        <f>966.83</f>
        <v>966.83</v>
      </c>
    </row>
    <row r="63" spans="1:6">
      <c r="A63" s="28"/>
      <c r="B63" s="28"/>
      <c r="C63" s="1" t="s">
        <v>66</v>
      </c>
      <c r="D63" s="5"/>
      <c r="E63" s="30">
        <v>70</v>
      </c>
      <c r="F63" s="2">
        <f t="shared" ref="F63:F65" si="3">D63*E63</f>
        <v>0</v>
      </c>
    </row>
    <row r="64" spans="1:6">
      <c r="A64" s="28"/>
      <c r="B64" s="28"/>
      <c r="C64" s="1" t="s">
        <v>61</v>
      </c>
      <c r="D64" s="5"/>
      <c r="E64" s="30">
        <v>3</v>
      </c>
      <c r="F64" s="2">
        <f t="shared" si="3"/>
        <v>0</v>
      </c>
    </row>
    <row r="65" spans="1:6">
      <c r="A65" s="28"/>
      <c r="B65" s="28"/>
      <c r="C65" s="1" t="s">
        <v>67</v>
      </c>
      <c r="D65" s="5"/>
      <c r="E65" s="30">
        <v>65</v>
      </c>
      <c r="F65" s="2">
        <f t="shared" si="3"/>
        <v>0</v>
      </c>
    </row>
    <row r="66" spans="1:6">
      <c r="A66" s="28"/>
      <c r="B66" s="10" t="s">
        <v>68</v>
      </c>
      <c r="C66" s="28"/>
      <c r="D66" s="29"/>
      <c r="E66" s="28"/>
      <c r="F66" s="32">
        <v>1423.8</v>
      </c>
    </row>
    <row r="67" spans="1:6">
      <c r="A67" s="28"/>
      <c r="B67" s="28"/>
      <c r="C67" s="1" t="s">
        <v>69</v>
      </c>
      <c r="D67" s="5"/>
      <c r="E67" s="30">
        <v>70</v>
      </c>
      <c r="F67" s="33">
        <v>1423.8</v>
      </c>
    </row>
    <row r="68" spans="1:6">
      <c r="A68" s="28"/>
      <c r="B68" s="28"/>
      <c r="C68" s="1"/>
      <c r="D68" s="34"/>
      <c r="E68" s="35"/>
      <c r="F68" s="34">
        <f>D68*E68</f>
        <v>0</v>
      </c>
    </row>
    <row r="69" spans="1:6">
      <c r="A69" s="28"/>
      <c r="B69" s="10" t="s">
        <v>60</v>
      </c>
      <c r="C69" s="28"/>
      <c r="D69" s="29"/>
      <c r="E69" s="28"/>
      <c r="F69" s="9">
        <v>86.9</v>
      </c>
    </row>
    <row r="70" spans="1:6">
      <c r="A70" s="28"/>
      <c r="B70" s="28"/>
      <c r="C70" s="1" t="s">
        <v>61</v>
      </c>
      <c r="D70" s="5"/>
      <c r="E70" s="30">
        <v>2</v>
      </c>
      <c r="F70" s="2">
        <f>D70*E70</f>
        <v>0</v>
      </c>
    </row>
    <row r="71" spans="1:6">
      <c r="A71" s="28"/>
      <c r="B71" s="28"/>
      <c r="C71" s="1"/>
      <c r="D71" s="5"/>
      <c r="E71" s="30"/>
      <c r="F71" s="2"/>
    </row>
    <row r="72" spans="1:6">
      <c r="A72" s="28"/>
      <c r="B72" s="28"/>
      <c r="C72" s="1"/>
      <c r="D72" s="5"/>
      <c r="E72" s="30"/>
      <c r="F72" s="2"/>
    </row>
    <row r="73" spans="1:6">
      <c r="A73" s="28"/>
      <c r="B73" s="10" t="s">
        <v>70</v>
      </c>
      <c r="C73" s="28"/>
      <c r="D73" s="29"/>
      <c r="E73" s="28"/>
      <c r="F73" s="12"/>
    </row>
    <row r="74" spans="1:6">
      <c r="A74" s="28"/>
      <c r="B74" s="28"/>
      <c r="C74" s="1" t="s">
        <v>71</v>
      </c>
      <c r="D74" s="5">
        <v>25</v>
      </c>
      <c r="E74" s="30">
        <v>56</v>
      </c>
      <c r="F74" s="9">
        <f>D74*E74</f>
        <v>1400</v>
      </c>
    </row>
    <row r="75" spans="1:6">
      <c r="A75" s="28"/>
      <c r="B75" s="28"/>
      <c r="C75" s="28"/>
      <c r="D75" s="29"/>
      <c r="E75" s="36" t="s">
        <v>72</v>
      </c>
      <c r="F75" s="63">
        <f>F62+F66+F69+F74</f>
        <v>3877.53</v>
      </c>
    </row>
    <row r="76" spans="1:6">
      <c r="A76" s="10" t="s">
        <v>73</v>
      </c>
      <c r="B76" s="28"/>
      <c r="C76" s="28"/>
      <c r="D76" s="29"/>
      <c r="E76" s="28"/>
      <c r="F76" s="12"/>
    </row>
    <row r="77" spans="1:6">
      <c r="A77" s="28"/>
      <c r="B77" s="10" t="s">
        <v>74</v>
      </c>
      <c r="C77" s="28"/>
      <c r="D77" s="29"/>
      <c r="E77" s="28"/>
      <c r="F77" s="9">
        <v>966.83</v>
      </c>
    </row>
    <row r="78" spans="1:6">
      <c r="A78" s="28"/>
      <c r="B78" s="28"/>
      <c r="C78" s="1" t="s">
        <v>66</v>
      </c>
      <c r="D78" s="5"/>
      <c r="E78" s="30">
        <v>70</v>
      </c>
      <c r="F78" s="2">
        <f t="shared" ref="F78:F80" si="4">D78*E78</f>
        <v>0</v>
      </c>
    </row>
    <row r="79" spans="1:6">
      <c r="A79" s="28"/>
      <c r="B79" s="28"/>
      <c r="C79" s="1" t="s">
        <v>61</v>
      </c>
      <c r="D79" s="5"/>
      <c r="E79" s="30">
        <v>3</v>
      </c>
      <c r="F79" s="2">
        <f t="shared" si="4"/>
        <v>0</v>
      </c>
    </row>
    <row r="80" spans="1:6">
      <c r="A80" s="28"/>
      <c r="B80" s="28"/>
      <c r="C80" s="1" t="s">
        <v>67</v>
      </c>
      <c r="D80" s="5"/>
      <c r="E80" s="30">
        <v>65</v>
      </c>
      <c r="F80" s="2">
        <f t="shared" si="4"/>
        <v>0</v>
      </c>
    </row>
    <row r="81" spans="1:6">
      <c r="A81" s="28"/>
      <c r="B81" s="28"/>
      <c r="C81" s="1"/>
      <c r="D81" s="5"/>
      <c r="E81" s="30"/>
      <c r="F81" s="2"/>
    </row>
    <row r="82" spans="1:6">
      <c r="A82" s="28"/>
      <c r="B82" s="10" t="s">
        <v>75</v>
      </c>
      <c r="C82" s="28"/>
      <c r="D82" s="29"/>
      <c r="E82" s="28"/>
      <c r="F82" s="9">
        <v>1423.8</v>
      </c>
    </row>
    <row r="83" spans="1:6">
      <c r="A83" s="28"/>
      <c r="B83" s="28"/>
      <c r="C83" s="1" t="s">
        <v>69</v>
      </c>
      <c r="D83" s="5"/>
      <c r="E83" s="30">
        <v>70</v>
      </c>
      <c r="F83" s="2">
        <f>D83*E83</f>
        <v>0</v>
      </c>
    </row>
    <row r="84" spans="1:6">
      <c r="A84" s="28"/>
      <c r="B84" s="28"/>
      <c r="C84" s="1"/>
      <c r="D84" s="34"/>
      <c r="E84" s="30"/>
      <c r="F84" s="34"/>
    </row>
    <row r="85" spans="1:6">
      <c r="A85" s="28"/>
      <c r="B85" s="10" t="s">
        <v>60</v>
      </c>
      <c r="C85" s="28"/>
      <c r="D85" s="29"/>
      <c r="E85" s="28"/>
      <c r="F85" s="9">
        <v>86.9</v>
      </c>
    </row>
    <row r="86" spans="1:6">
      <c r="A86" s="28"/>
      <c r="B86" s="28"/>
      <c r="C86" s="1" t="s">
        <v>61</v>
      </c>
      <c r="D86" s="5"/>
      <c r="E86" s="30">
        <v>2</v>
      </c>
      <c r="F86" s="2">
        <f>D86*E86</f>
        <v>0</v>
      </c>
    </row>
    <row r="87" spans="1:6">
      <c r="A87" s="28"/>
      <c r="B87" s="28"/>
      <c r="C87" s="1"/>
      <c r="D87" s="5"/>
      <c r="E87" s="30"/>
      <c r="F87" s="2"/>
    </row>
    <row r="88" spans="1:6">
      <c r="A88" s="28"/>
      <c r="B88" s="28"/>
      <c r="C88" s="1"/>
      <c r="D88" s="5"/>
      <c r="E88" s="30"/>
      <c r="F88" s="2"/>
    </row>
    <row r="89" spans="1:6">
      <c r="A89" s="28"/>
      <c r="B89" s="10" t="s">
        <v>76</v>
      </c>
      <c r="C89" s="28"/>
      <c r="D89" s="5"/>
      <c r="E89" s="28"/>
      <c r="F89" s="9">
        <v>2818.22</v>
      </c>
    </row>
    <row r="90" spans="1:6">
      <c r="A90" s="28"/>
      <c r="B90" s="28"/>
      <c r="C90" s="1" t="s">
        <v>77</v>
      </c>
      <c r="D90" s="5"/>
      <c r="E90" s="30">
        <v>70</v>
      </c>
      <c r="F90" s="2">
        <f>D90*E90</f>
        <v>0</v>
      </c>
    </row>
    <row r="91" spans="1:6">
      <c r="A91" s="28"/>
      <c r="B91" s="28"/>
      <c r="C91" s="28"/>
      <c r="D91" s="29"/>
      <c r="E91" s="36" t="s">
        <v>78</v>
      </c>
      <c r="F91" s="64">
        <f>F77+F82+F85+F89</f>
        <v>5295.75</v>
      </c>
    </row>
    <row r="92" spans="1:6">
      <c r="A92" s="28"/>
      <c r="B92" s="28"/>
      <c r="C92" s="28"/>
      <c r="D92" s="29"/>
      <c r="E92" s="28"/>
      <c r="F92" s="12"/>
    </row>
    <row r="93" spans="1:6">
      <c r="A93" s="28"/>
      <c r="B93" s="28"/>
      <c r="C93" s="28"/>
      <c r="D93" s="29"/>
      <c r="E93" s="28"/>
      <c r="F93" s="65"/>
    </row>
    <row r="94" spans="1:6">
      <c r="A94" s="28"/>
      <c r="B94" s="28"/>
      <c r="C94" s="28"/>
      <c r="D94" s="29"/>
      <c r="E94" s="36" t="s">
        <v>79</v>
      </c>
      <c r="F94" s="58">
        <f>SUM(F91+F75+F60)</f>
        <v>12207.73</v>
      </c>
    </row>
    <row r="96" spans="1:6">
      <c r="A96" s="28"/>
      <c r="B96" s="28"/>
      <c r="C96" s="28"/>
      <c r="D96" s="28"/>
      <c r="E96" s="28"/>
      <c r="F96" s="12"/>
    </row>
    <row r="97" spans="1:6">
      <c r="A97" s="77" t="s">
        <v>80</v>
      </c>
      <c r="B97" s="76"/>
      <c r="C97" s="76"/>
      <c r="D97" s="76"/>
      <c r="E97" s="76"/>
      <c r="F97" s="76"/>
    </row>
    <row r="98" spans="1:6">
      <c r="A98" s="18" t="s">
        <v>81</v>
      </c>
      <c r="D98" s="18">
        <f t="shared" ref="D98:D99" si="5">F98/E98</f>
        <v>12.995294117647058</v>
      </c>
      <c r="E98" s="18">
        <v>17</v>
      </c>
      <c r="F98" s="18">
        <v>220.92</v>
      </c>
    </row>
    <row r="99" spans="1:6">
      <c r="A99" s="28" t="s">
        <v>82</v>
      </c>
      <c r="B99" s="28"/>
      <c r="C99" s="28"/>
      <c r="D99" s="28">
        <f t="shared" si="5"/>
        <v>31.442500000000003</v>
      </c>
      <c r="E99" s="10">
        <v>20</v>
      </c>
      <c r="F99" s="33">
        <v>628.85</v>
      </c>
    </row>
    <row r="100" spans="1:6">
      <c r="A100" s="28" t="s">
        <v>83</v>
      </c>
      <c r="B100" s="28"/>
      <c r="C100" s="28"/>
      <c r="D100" s="28"/>
      <c r="E100" s="10"/>
      <c r="F100" s="33">
        <v>300</v>
      </c>
    </row>
    <row r="101" spans="1:6">
      <c r="A101" s="28" t="s">
        <v>84</v>
      </c>
      <c r="B101" s="28"/>
      <c r="C101" s="28"/>
      <c r="D101" s="28"/>
      <c r="E101" s="10"/>
      <c r="F101" s="33">
        <v>200</v>
      </c>
    </row>
    <row r="102" spans="1:6">
      <c r="A102" s="28" t="s">
        <v>85</v>
      </c>
      <c r="B102" s="28"/>
      <c r="C102" s="28"/>
      <c r="D102" s="28"/>
      <c r="E102" s="10"/>
      <c r="F102" s="33">
        <v>300</v>
      </c>
    </row>
    <row r="103" spans="1:6">
      <c r="A103" s="28"/>
      <c r="B103" s="28"/>
      <c r="C103" s="28"/>
      <c r="D103" s="28"/>
      <c r="E103" s="36" t="s">
        <v>57</v>
      </c>
      <c r="F103" s="66">
        <f>SUM(F98:F102)</f>
        <v>1649.77</v>
      </c>
    </row>
    <row r="104" spans="1:6">
      <c r="A104" s="28"/>
      <c r="B104" s="28"/>
      <c r="C104" s="28"/>
      <c r="D104" s="28"/>
      <c r="E104" s="28"/>
      <c r="F104" s="12"/>
    </row>
    <row r="105" spans="1:6">
      <c r="A105" s="28"/>
      <c r="B105" s="28"/>
      <c r="C105" s="28"/>
      <c r="D105" s="36" t="s">
        <v>86</v>
      </c>
      <c r="E105" s="37"/>
      <c r="F105" s="38">
        <f>F49+F94+F103</f>
        <v>14126.88</v>
      </c>
    </row>
    <row r="107" spans="1:6">
      <c r="A107" s="71" t="s">
        <v>87</v>
      </c>
      <c r="B107" s="75"/>
      <c r="C107" s="75"/>
      <c r="D107" s="75"/>
      <c r="E107" s="75"/>
      <c r="F107" s="75"/>
    </row>
    <row r="108" spans="1:6">
      <c r="A108" s="39" t="s">
        <v>44</v>
      </c>
      <c r="B108" s="39" t="s">
        <v>45</v>
      </c>
      <c r="C108" s="39"/>
      <c r="D108" s="39" t="s">
        <v>88</v>
      </c>
      <c r="E108" s="39" t="s">
        <v>89</v>
      </c>
      <c r="F108" s="40" t="s">
        <v>48</v>
      </c>
    </row>
    <row r="109" spans="1:6">
      <c r="A109" s="69" t="s">
        <v>90</v>
      </c>
      <c r="B109" s="76"/>
      <c r="C109" s="76"/>
      <c r="D109" s="76"/>
      <c r="E109" s="76"/>
      <c r="F109" s="76"/>
    </row>
    <row r="110" spans="1:6">
      <c r="A110" s="10" t="s">
        <v>91</v>
      </c>
      <c r="B110" s="1" t="s">
        <v>92</v>
      </c>
      <c r="C110" s="1"/>
      <c r="D110" s="35"/>
      <c r="E110" s="1" t="s">
        <v>93</v>
      </c>
      <c r="F110" s="2">
        <v>216.96</v>
      </c>
    </row>
    <row r="111" spans="1:6">
      <c r="A111" s="10"/>
      <c r="B111" s="1" t="s">
        <v>94</v>
      </c>
      <c r="C111" s="1"/>
      <c r="D111" s="35"/>
      <c r="E111" s="1"/>
      <c r="F111" s="2">
        <v>22.37</v>
      </c>
    </row>
    <row r="112" spans="1:6">
      <c r="A112" s="10" t="s">
        <v>95</v>
      </c>
      <c r="B112" s="1" t="s">
        <v>96</v>
      </c>
      <c r="C112" s="1"/>
      <c r="D112" s="35">
        <f>F112/E112</f>
        <v>24.756521739130434</v>
      </c>
      <c r="E112" s="1">
        <v>11.5</v>
      </c>
      <c r="F112" s="2">
        <v>284.7</v>
      </c>
    </row>
    <row r="113" spans="1:6">
      <c r="A113" s="10"/>
      <c r="B113" s="1"/>
      <c r="C113" s="1"/>
      <c r="D113" s="35"/>
      <c r="E113" s="1"/>
      <c r="F113" s="2"/>
    </row>
    <row r="114" spans="1:6">
      <c r="A114" s="10" t="s">
        <v>97</v>
      </c>
      <c r="B114" s="1" t="s">
        <v>98</v>
      </c>
      <c r="C114" s="1"/>
      <c r="D114" s="35"/>
      <c r="E114" s="1"/>
      <c r="F114" s="2">
        <v>59.17</v>
      </c>
    </row>
    <row r="115" spans="1:6">
      <c r="A115" s="41" t="s">
        <v>99</v>
      </c>
      <c r="B115" s="18" t="s">
        <v>100</v>
      </c>
      <c r="F115" s="42">
        <v>88.99</v>
      </c>
    </row>
    <row r="116" spans="1:6">
      <c r="A116" s="18"/>
      <c r="B116" s="18" t="s">
        <v>101</v>
      </c>
      <c r="C116" s="18"/>
      <c r="F116" s="42">
        <v>415.92</v>
      </c>
    </row>
    <row r="117" spans="1:6">
      <c r="A117" s="18"/>
      <c r="B117" s="18" t="s">
        <v>102</v>
      </c>
      <c r="C117" s="18"/>
      <c r="F117" s="42">
        <v>61.97</v>
      </c>
    </row>
    <row r="118" spans="1:6">
      <c r="A118" s="18"/>
      <c r="B118" s="18" t="s">
        <v>103</v>
      </c>
      <c r="C118" s="18"/>
      <c r="F118" s="42">
        <v>9.02</v>
      </c>
    </row>
    <row r="119" spans="1:6">
      <c r="A119" s="18"/>
      <c r="B119" s="18" t="s">
        <v>104</v>
      </c>
      <c r="C119" s="18"/>
      <c r="F119" s="42">
        <v>28.88</v>
      </c>
    </row>
    <row r="120" spans="1:6">
      <c r="A120" s="18"/>
      <c r="B120" s="18" t="s">
        <v>105</v>
      </c>
      <c r="C120" s="18"/>
      <c r="F120" s="42">
        <v>42.83</v>
      </c>
    </row>
    <row r="121" spans="1:6">
      <c r="A121" s="18"/>
      <c r="B121" s="18" t="s">
        <v>106</v>
      </c>
      <c r="C121" s="18"/>
      <c r="F121" s="42">
        <v>74.3</v>
      </c>
    </row>
    <row r="122" spans="1:6">
      <c r="A122" s="18"/>
      <c r="B122" s="18" t="s">
        <v>107</v>
      </c>
      <c r="C122" s="18" t="s">
        <v>108</v>
      </c>
      <c r="F122" s="42">
        <v>14.69</v>
      </c>
    </row>
    <row r="123" spans="1:6">
      <c r="A123" s="18"/>
      <c r="B123" s="18"/>
      <c r="C123" s="18"/>
      <c r="F123" s="42"/>
    </row>
    <row r="124" spans="1:6">
      <c r="A124" s="1"/>
      <c r="B124" s="1"/>
      <c r="C124" s="1"/>
      <c r="D124" s="5"/>
      <c r="E124" s="67" t="s">
        <v>57</v>
      </c>
      <c r="F124" s="63">
        <f>SUM(F110:F112,F114:F122)</f>
        <v>1319.8</v>
      </c>
    </row>
    <row r="125" spans="1:6">
      <c r="A125" s="69" t="s">
        <v>109</v>
      </c>
      <c r="B125" s="76"/>
      <c r="C125" s="76"/>
      <c r="D125" s="76"/>
      <c r="E125" s="76"/>
      <c r="F125" s="76"/>
    </row>
    <row r="126" spans="1:6">
      <c r="A126" s="43" t="s">
        <v>110</v>
      </c>
      <c r="B126" s="43"/>
      <c r="C126" s="43"/>
      <c r="D126" s="43"/>
      <c r="E126" s="43"/>
      <c r="F126" s="44"/>
    </row>
    <row r="127" spans="1:6">
      <c r="A127" s="1" t="s">
        <v>111</v>
      </c>
      <c r="B127" s="1" t="s">
        <v>112</v>
      </c>
      <c r="C127" s="1"/>
      <c r="D127" s="2"/>
      <c r="E127" s="1"/>
      <c r="F127" s="2">
        <v>600</v>
      </c>
    </row>
    <row r="128" spans="1:6">
      <c r="A128" s="1" t="s">
        <v>113</v>
      </c>
      <c r="B128" s="1" t="s">
        <v>114</v>
      </c>
      <c r="C128" s="1"/>
      <c r="D128" s="2"/>
      <c r="E128" s="1"/>
      <c r="F128" s="2">
        <v>840.9</v>
      </c>
    </row>
    <row r="130" spans="1:6">
      <c r="A130" s="1"/>
      <c r="B130" s="1"/>
      <c r="C130" s="1"/>
      <c r="D130" s="1"/>
      <c r="E130" s="36" t="s">
        <v>57</v>
      </c>
      <c r="F130" s="64">
        <f>SUM(F127,F128)</f>
        <v>1440.9</v>
      </c>
    </row>
    <row r="131" spans="1:6">
      <c r="A131" s="69" t="s">
        <v>115</v>
      </c>
      <c r="B131" s="76"/>
      <c r="C131" s="76"/>
      <c r="D131" s="76"/>
      <c r="E131" s="76"/>
      <c r="F131" s="76"/>
    </row>
    <row r="133" spans="1:6">
      <c r="A133" s="10" t="s">
        <v>116</v>
      </c>
      <c r="B133" s="1"/>
      <c r="C133" s="1"/>
      <c r="D133" s="1" t="s">
        <v>117</v>
      </c>
      <c r="E133" s="1" t="s">
        <v>118</v>
      </c>
      <c r="F133" s="2"/>
    </row>
    <row r="134" spans="1:6">
      <c r="A134" s="45" t="s">
        <v>119</v>
      </c>
      <c r="B134" s="1" t="s">
        <v>120</v>
      </c>
      <c r="C134" s="1" t="s">
        <v>121</v>
      </c>
      <c r="D134" s="2"/>
      <c r="E134" s="1"/>
      <c r="F134" s="2">
        <f>42.17 + 54.5</f>
        <v>96.67</v>
      </c>
    </row>
    <row r="135" spans="1:6">
      <c r="A135" s="10"/>
      <c r="B135" s="1" t="s">
        <v>122</v>
      </c>
      <c r="C135" s="1" t="s">
        <v>123</v>
      </c>
      <c r="D135" s="2">
        <f>F135/E135</f>
        <v>0.30249999999999999</v>
      </c>
      <c r="E135" s="46">
        <v>728</v>
      </c>
      <c r="F135" s="2">
        <f>220.22</f>
        <v>220.22</v>
      </c>
    </row>
    <row r="136" spans="1:6">
      <c r="A136" s="10"/>
      <c r="B136" s="1" t="s">
        <v>124</v>
      </c>
      <c r="C136" s="1" t="s">
        <v>125</v>
      </c>
      <c r="D136" s="2"/>
      <c r="E136" s="1"/>
      <c r="F136" s="2">
        <f>131.65+235.39+230.51</f>
        <v>597.54999999999995</v>
      </c>
    </row>
    <row r="137" spans="1:6">
      <c r="A137" s="10"/>
      <c r="B137" s="1"/>
      <c r="C137" s="1"/>
      <c r="D137" s="2"/>
      <c r="E137" s="1"/>
      <c r="F137" s="2"/>
    </row>
    <row r="138" spans="1:6">
      <c r="A138" s="1" t="s">
        <v>126</v>
      </c>
      <c r="B138" s="1" t="s">
        <v>120</v>
      </c>
      <c r="C138" s="1" t="s">
        <v>127</v>
      </c>
      <c r="D138" s="2"/>
      <c r="E138" s="1"/>
      <c r="F138" s="2">
        <v>24</v>
      </c>
    </row>
    <row r="139" spans="1:6">
      <c r="A139" s="10"/>
      <c r="B139" s="1" t="s">
        <v>128</v>
      </c>
      <c r="C139" s="1"/>
      <c r="D139" s="2"/>
      <c r="E139" s="1"/>
      <c r="F139" s="2"/>
    </row>
    <row r="140" spans="1:6">
      <c r="A140" s="10"/>
      <c r="B140" s="1" t="s">
        <v>124</v>
      </c>
      <c r="C140" s="1" t="s">
        <v>129</v>
      </c>
      <c r="D140" s="2"/>
      <c r="E140" s="1"/>
      <c r="F140" s="2"/>
    </row>
    <row r="141" spans="1:6">
      <c r="A141" s="10"/>
      <c r="B141" s="1"/>
      <c r="C141" s="1"/>
      <c r="D141" s="2"/>
      <c r="E141" s="1"/>
      <c r="F141" s="2"/>
    </row>
    <row r="142" spans="1:6">
      <c r="A142" s="10" t="s">
        <v>130</v>
      </c>
      <c r="B142" s="1"/>
      <c r="C142" s="1"/>
      <c r="D142" s="1" t="s">
        <v>131</v>
      </c>
      <c r="E142" s="1" t="s">
        <v>132</v>
      </c>
      <c r="F142" s="2"/>
    </row>
    <row r="143" spans="1:6">
      <c r="A143" s="45" t="s">
        <v>133</v>
      </c>
      <c r="B143" s="1" t="s">
        <v>134</v>
      </c>
      <c r="C143" s="1" t="s">
        <v>135</v>
      </c>
      <c r="D143" s="2">
        <f>F143/E143</f>
        <v>273.97000000000003</v>
      </c>
      <c r="E143" s="1">
        <v>4</v>
      </c>
      <c r="F143" s="2">
        <v>1095.8800000000001</v>
      </c>
    </row>
    <row r="144" spans="1:6">
      <c r="A144" s="45" t="s">
        <v>136</v>
      </c>
      <c r="B144" s="1" t="s">
        <v>122</v>
      </c>
      <c r="C144" s="1"/>
      <c r="D144" s="2">
        <v>299.86750000000001</v>
      </c>
      <c r="E144" s="1">
        <v>4</v>
      </c>
      <c r="F144" s="2">
        <f t="shared" ref="F144:F145" si="6">D144*E144</f>
        <v>1199.47</v>
      </c>
    </row>
    <row r="145" spans="1:6">
      <c r="A145" s="10"/>
      <c r="B145" s="1" t="s">
        <v>137</v>
      </c>
      <c r="C145" s="1"/>
      <c r="D145" s="2">
        <v>311.96499999999997</v>
      </c>
      <c r="E145" s="1">
        <v>2</v>
      </c>
      <c r="F145" s="2">
        <f t="shared" si="6"/>
        <v>623.92999999999995</v>
      </c>
    </row>
    <row r="146" spans="1:6">
      <c r="A146" s="10"/>
      <c r="B146" s="1"/>
      <c r="C146" s="1"/>
      <c r="D146" s="2"/>
      <c r="E146" s="1"/>
      <c r="F146" s="2"/>
    </row>
    <row r="147" spans="1:6">
      <c r="A147" s="10" t="s">
        <v>138</v>
      </c>
      <c r="B147" s="1"/>
      <c r="C147" s="1"/>
      <c r="D147" s="2"/>
      <c r="E147" s="1"/>
      <c r="F147" s="2"/>
    </row>
    <row r="148" spans="1:6">
      <c r="A148" s="45"/>
      <c r="B148" s="1" t="s">
        <v>134</v>
      </c>
      <c r="C148" s="1"/>
      <c r="D148" s="2"/>
      <c r="E148" s="1"/>
      <c r="F148" s="2"/>
    </row>
    <row r="149" spans="1:6">
      <c r="A149" s="10"/>
      <c r="B149" s="1" t="s">
        <v>122</v>
      </c>
      <c r="C149" s="1"/>
      <c r="D149" s="2"/>
      <c r="E149" s="1"/>
      <c r="F149" s="2">
        <v>41.08</v>
      </c>
    </row>
    <row r="150" spans="1:6">
      <c r="A150" s="1"/>
      <c r="B150" s="1" t="s">
        <v>124</v>
      </c>
      <c r="C150" s="1"/>
      <c r="D150" s="2"/>
      <c r="E150" s="1"/>
      <c r="F150" s="2">
        <v>0</v>
      </c>
    </row>
    <row r="151" spans="1:6">
      <c r="A151" s="10" t="s">
        <v>139</v>
      </c>
      <c r="B151" s="1"/>
      <c r="C151" s="1"/>
      <c r="D151" s="2"/>
      <c r="E151" s="1"/>
      <c r="F151" s="2"/>
    </row>
    <row r="152" spans="1:6">
      <c r="A152" s="1"/>
      <c r="B152" s="1" t="s">
        <v>140</v>
      </c>
      <c r="C152" s="1"/>
      <c r="D152" s="2"/>
      <c r="E152" s="1"/>
      <c r="F152" s="2">
        <v>168.79</v>
      </c>
    </row>
    <row r="153" spans="1:6">
      <c r="A153" s="1"/>
      <c r="B153" s="1"/>
      <c r="C153" s="1"/>
      <c r="D153" s="2"/>
      <c r="E153" s="1"/>
      <c r="F153" s="2"/>
    </row>
    <row r="154" spans="1:6">
      <c r="A154" s="1"/>
      <c r="B154" s="1"/>
      <c r="C154" s="1"/>
      <c r="D154" s="2"/>
      <c r="E154" s="1"/>
      <c r="F154" s="2"/>
    </row>
    <row r="155" spans="1:6">
      <c r="A155" s="1"/>
      <c r="B155" s="1"/>
      <c r="C155" s="1"/>
      <c r="D155" s="2"/>
      <c r="E155" s="1"/>
      <c r="F155" s="2"/>
    </row>
    <row r="156" spans="1:6">
      <c r="A156" s="1"/>
      <c r="B156" s="1"/>
      <c r="C156" s="1"/>
      <c r="D156" s="1"/>
      <c r="E156" s="36" t="s">
        <v>57</v>
      </c>
      <c r="F156" s="63">
        <f>SUM(F134:F154)</f>
        <v>4067.5899999999997</v>
      </c>
    </row>
    <row r="158" spans="1:6">
      <c r="A158" s="69" t="s">
        <v>141</v>
      </c>
      <c r="B158" s="76"/>
      <c r="C158" s="76"/>
      <c r="D158" s="76"/>
      <c r="E158" s="76"/>
      <c r="F158" s="76"/>
    </row>
    <row r="159" spans="1:6">
      <c r="A159" s="43"/>
      <c r="B159" s="1" t="s">
        <v>142</v>
      </c>
      <c r="C159" s="1"/>
      <c r="D159" s="43"/>
      <c r="E159" s="43"/>
      <c r="F159" s="47">
        <v>250</v>
      </c>
    </row>
    <row r="160" spans="1:6">
      <c r="A160" s="43"/>
      <c r="B160" s="1" t="s">
        <v>143</v>
      </c>
      <c r="C160" s="1"/>
      <c r="D160" s="43"/>
      <c r="E160" s="43"/>
      <c r="F160" s="47">
        <v>100</v>
      </c>
    </row>
    <row r="161" spans="1:6">
      <c r="A161" s="43"/>
      <c r="B161" s="1" t="s">
        <v>144</v>
      </c>
      <c r="C161" s="1"/>
      <c r="D161" s="43"/>
      <c r="E161" s="43"/>
      <c r="F161" s="47">
        <v>250</v>
      </c>
    </row>
    <row r="162" spans="1:6">
      <c r="A162" s="1"/>
      <c r="B162" s="1" t="s">
        <v>145</v>
      </c>
      <c r="C162" s="1"/>
      <c r="D162" s="1"/>
      <c r="E162" s="1"/>
      <c r="F162" s="2">
        <v>100</v>
      </c>
    </row>
    <row r="163" spans="1:6">
      <c r="A163" s="1"/>
      <c r="B163" s="1" t="s">
        <v>146</v>
      </c>
      <c r="C163" s="1"/>
      <c r="D163" s="1"/>
      <c r="E163" s="1"/>
      <c r="F163" s="2">
        <v>250</v>
      </c>
    </row>
    <row r="164" spans="1:6">
      <c r="A164" s="1"/>
      <c r="B164" s="1" t="s">
        <v>147</v>
      </c>
      <c r="C164" s="1"/>
      <c r="D164" s="1"/>
      <c r="E164" s="1"/>
      <c r="F164" s="2">
        <v>100</v>
      </c>
    </row>
    <row r="165" spans="1:6">
      <c r="A165" s="1"/>
      <c r="B165" s="1" t="s">
        <v>148</v>
      </c>
      <c r="C165" s="1"/>
      <c r="D165" s="1"/>
      <c r="E165" s="1"/>
      <c r="F165" s="2">
        <v>250</v>
      </c>
    </row>
    <row r="166" spans="1:6">
      <c r="A166" s="1"/>
      <c r="B166" s="1" t="s">
        <v>149</v>
      </c>
      <c r="C166" s="1"/>
      <c r="D166" s="1"/>
      <c r="E166" s="1"/>
      <c r="F166" s="2">
        <v>100</v>
      </c>
    </row>
    <row r="167" spans="1:6">
      <c r="A167" s="1"/>
      <c r="B167" s="1" t="s">
        <v>150</v>
      </c>
      <c r="C167" s="1"/>
      <c r="D167" s="1"/>
      <c r="E167" s="1"/>
      <c r="F167" s="2">
        <v>250</v>
      </c>
    </row>
    <row r="168" spans="1:6">
      <c r="A168" s="1"/>
      <c r="B168" s="1" t="s">
        <v>151</v>
      </c>
      <c r="C168" s="1"/>
      <c r="D168" s="1"/>
      <c r="E168" s="1"/>
      <c r="F168" s="2">
        <v>100</v>
      </c>
    </row>
    <row r="169" spans="1:6">
      <c r="A169" s="1"/>
      <c r="B169" s="1" t="s">
        <v>152</v>
      </c>
      <c r="C169" s="1"/>
      <c r="D169" s="1"/>
      <c r="E169" s="1"/>
      <c r="F169" s="2">
        <v>250</v>
      </c>
    </row>
    <row r="170" spans="1:6">
      <c r="A170" s="1"/>
      <c r="B170" s="1" t="s">
        <v>153</v>
      </c>
      <c r="C170" s="1"/>
      <c r="D170" s="1"/>
      <c r="E170" s="1"/>
      <c r="F170" s="2">
        <v>250</v>
      </c>
    </row>
    <row r="171" spans="1:6">
      <c r="A171" s="1"/>
      <c r="B171" s="1"/>
      <c r="C171" s="1"/>
      <c r="D171" s="1"/>
      <c r="E171" s="36" t="s">
        <v>57</v>
      </c>
      <c r="F171" s="63">
        <f>SUM(F159:F170)</f>
        <v>2250</v>
      </c>
    </row>
    <row r="172" spans="1:6">
      <c r="A172" s="1"/>
      <c r="B172" s="1"/>
      <c r="C172" s="1"/>
      <c r="D172" s="1"/>
      <c r="E172" s="10"/>
      <c r="F172" s="2"/>
    </row>
    <row r="173" spans="1:6">
      <c r="A173" s="1"/>
      <c r="B173" s="1" t="s">
        <v>154</v>
      </c>
      <c r="C173" s="1"/>
      <c r="D173" s="1"/>
      <c r="E173" s="10"/>
      <c r="F173" s="2">
        <v>1000</v>
      </c>
    </row>
    <row r="174" spans="1:6">
      <c r="A174" s="1"/>
      <c r="B174" s="1" t="s">
        <v>154</v>
      </c>
      <c r="C174" s="1"/>
      <c r="D174" s="1"/>
      <c r="E174" s="10"/>
      <c r="F174" s="2">
        <v>1000</v>
      </c>
    </row>
    <row r="175" spans="1:6">
      <c r="A175" s="1"/>
      <c r="B175" s="1" t="s">
        <v>155</v>
      </c>
      <c r="C175" s="1"/>
      <c r="D175" s="1"/>
      <c r="E175" s="10"/>
      <c r="F175" s="2">
        <v>1000</v>
      </c>
    </row>
    <row r="176" spans="1:6">
      <c r="A176" s="1" t="s">
        <v>156</v>
      </c>
      <c r="B176" s="1" t="s">
        <v>157</v>
      </c>
      <c r="C176" s="1"/>
      <c r="D176" s="1"/>
      <c r="E176" s="10"/>
      <c r="F176" s="2">
        <v>410</v>
      </c>
    </row>
    <row r="177" spans="1:7">
      <c r="A177" s="1"/>
      <c r="B177" s="1"/>
      <c r="C177" s="1"/>
      <c r="D177" s="1"/>
      <c r="E177" s="10"/>
      <c r="F177" s="2"/>
    </row>
    <row r="178" spans="1:7">
      <c r="A178" s="1"/>
      <c r="B178" s="1"/>
      <c r="C178" s="1"/>
      <c r="D178" s="48" t="s">
        <v>158</v>
      </c>
      <c r="E178" s="49"/>
      <c r="F178" s="50">
        <f>SUM(F124,F130,F156,F171,F173:F176)</f>
        <v>12488.289999999999</v>
      </c>
      <c r="G178" s="51"/>
    </row>
    <row r="179" spans="1:7">
      <c r="A179" s="1"/>
      <c r="B179" s="1"/>
      <c r="C179" s="1"/>
      <c r="D179" s="1"/>
      <c r="E179" s="1"/>
      <c r="F179" s="2"/>
    </row>
    <row r="180" spans="1:7">
      <c r="A180" s="62"/>
      <c r="B180" s="62"/>
      <c r="C180" s="62"/>
      <c r="D180" s="62"/>
      <c r="E180" s="52" t="s">
        <v>159</v>
      </c>
      <c r="F180" s="53">
        <f>F105+F178</f>
        <v>26615.17</v>
      </c>
    </row>
    <row r="181" spans="1:7">
      <c r="A181" s="1"/>
      <c r="B181" s="1"/>
      <c r="C181" s="1"/>
      <c r="D181" s="1"/>
      <c r="E181" s="1"/>
      <c r="F181" s="1"/>
    </row>
    <row r="182" spans="1:7">
      <c r="A182" s="10"/>
      <c r="B182" s="1"/>
      <c r="C182" s="1"/>
      <c r="D182" s="1"/>
      <c r="E182" s="1"/>
      <c r="F182" s="1"/>
    </row>
    <row r="183" spans="1:7">
      <c r="A183" s="1"/>
      <c r="B183" s="1"/>
      <c r="C183" s="1"/>
      <c r="D183" s="1"/>
      <c r="E183" s="10" t="s">
        <v>160</v>
      </c>
      <c r="F183" s="9">
        <f>0.1*F180</f>
        <v>2661.5169999999998</v>
      </c>
    </row>
    <row r="184" spans="1:7">
      <c r="A184" s="1"/>
      <c r="B184" s="1"/>
      <c r="C184" s="1"/>
      <c r="D184" s="1"/>
      <c r="E184" s="1"/>
      <c r="F184" s="1"/>
    </row>
    <row r="185" spans="1:7">
      <c r="A185" s="1"/>
      <c r="B185" s="1"/>
      <c r="C185" s="1"/>
      <c r="D185" s="1"/>
      <c r="E185" s="10" t="s">
        <v>161</v>
      </c>
      <c r="F185" s="9">
        <f>F37-F180-F183</f>
        <v>12602.483</v>
      </c>
    </row>
    <row r="186" spans="1:7">
      <c r="A186" s="1"/>
      <c r="B186" s="1"/>
      <c r="C186" s="1"/>
      <c r="D186" s="1"/>
      <c r="E186" s="1"/>
      <c r="F186" s="1"/>
    </row>
    <row r="187" spans="1:7">
      <c r="A187" s="1"/>
      <c r="B187" s="1"/>
      <c r="C187" s="1"/>
      <c r="D187" s="1"/>
      <c r="E187" s="1"/>
      <c r="F187" s="1"/>
    </row>
    <row r="188" spans="1:7">
      <c r="A188" s="1"/>
      <c r="B188" s="1"/>
      <c r="C188" s="1"/>
      <c r="D188" s="1"/>
      <c r="E188" s="54" t="s">
        <v>162</v>
      </c>
      <c r="F188" s="9">
        <f>F183+F185</f>
        <v>15264</v>
      </c>
    </row>
    <row r="191" spans="1:7">
      <c r="F191" s="51"/>
    </row>
  </sheetData>
  <mergeCells count="17">
    <mergeCell ref="A2:I2"/>
    <mergeCell ref="A3:I3"/>
    <mergeCell ref="A4:I4"/>
    <mergeCell ref="A6:I6"/>
    <mergeCell ref="A7:I7"/>
    <mergeCell ref="A22:F22"/>
    <mergeCell ref="A33:F33"/>
    <mergeCell ref="A125:F125"/>
    <mergeCell ref="A131:F131"/>
    <mergeCell ref="A158:F158"/>
    <mergeCell ref="A39:I39"/>
    <mergeCell ref="A40:I40"/>
    <mergeCell ref="A42:F42"/>
    <mergeCell ref="A51:F51"/>
    <mergeCell ref="A97:F97"/>
    <mergeCell ref="A107:F107"/>
    <mergeCell ref="A109:F109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Props1.xml><?xml version="1.0" encoding="utf-8"?>
<ds:datastoreItem xmlns:ds="http://schemas.openxmlformats.org/officeDocument/2006/customXml" ds:itemID="{46D6CDC0-0017-4E24-8977-6B237914BEAC}"/>
</file>

<file path=customXml/itemProps2.xml><?xml version="1.0" encoding="utf-8"?>
<ds:datastoreItem xmlns:ds="http://schemas.openxmlformats.org/officeDocument/2006/customXml" ds:itemID="{D9CD4EA5-6D77-4611-B784-65B43DB0311B}"/>
</file>

<file path=customXml/itemProps3.xml><?xml version="1.0" encoding="utf-8"?>
<ds:datastoreItem xmlns:ds="http://schemas.openxmlformats.org/officeDocument/2006/customXml" ds:itemID="{D59C779B-E037-4A5C-94F1-5638CEF7A4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Wilder</cp:lastModifiedBy>
  <cp:revision/>
  <dcterms:created xsi:type="dcterms:W3CDTF">2025-11-20T15:18:38Z</dcterms:created>
  <dcterms:modified xsi:type="dcterms:W3CDTF">2025-11-26T21:17:27Z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