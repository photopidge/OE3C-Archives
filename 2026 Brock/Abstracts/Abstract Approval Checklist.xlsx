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ocku.sharepoint.com/sites/OE3Conference2026/Shared Documents/Files and Documents/Abstracts/"/>
    </mc:Choice>
  </mc:AlternateContent>
  <xr:revisionPtr revIDLastSave="1008" documentId="11_930195871AC3FEEFA1F0312766B9FB765241C5F9" xr6:coauthVersionLast="47" xr6:coauthVersionMax="47" xr10:uidLastSave="{BBB502FA-9830-4861-9AFE-059C3BA1EAD7}"/>
  <bookViews>
    <workbookView xWindow="0" yWindow="500" windowWidth="23260" windowHeight="13900" activeTab="1" xr2:uid="{00000000-000D-0000-FFFF-FFFF00000000}"/>
  </bookViews>
  <sheets>
    <sheet name="Abstract Approval Checklist" sheetId="1" r:id="rId1"/>
    <sheet name="Official Talk Order" sheetId="10" r:id="rId2"/>
    <sheet name="Stats Page" sheetId="9" r:id="rId3"/>
    <sheet name="Concurrent Session 1 (Talks)" sheetId="2" r:id="rId4"/>
    <sheet name="Concurrent Session 2 (Talks)" sheetId="3" r:id="rId5"/>
    <sheet name="Poster Session 1" sheetId="4" r:id="rId6"/>
    <sheet name="Concurrent Session 3 (Talks)" sheetId="6" r:id="rId7"/>
    <sheet name="Concurrent Session 4 (Talks)" sheetId="7" r:id="rId8"/>
    <sheet name="Concurrent Session 5 (Talks)" sheetId="8" r:id="rId9"/>
    <sheet name="Poster Session 2" sheetId="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23" i="1"/>
  <c r="A44" i="1"/>
  <c r="A45" i="1"/>
  <c r="A6" i="1"/>
  <c r="A12" i="1"/>
  <c r="A29" i="1"/>
  <c r="A9" i="1"/>
  <c r="A13" i="1"/>
  <c r="A30" i="1"/>
  <c r="A31" i="1"/>
  <c r="A14" i="1"/>
  <c r="A15" i="1"/>
  <c r="A39" i="1"/>
  <c r="A16" i="1"/>
  <c r="A32" i="1"/>
  <c r="A7" i="1"/>
  <c r="A8" i="1"/>
  <c r="A24" i="1"/>
  <c r="A40" i="1"/>
  <c r="A25" i="1"/>
  <c r="A17" i="1"/>
  <c r="A18" i="1"/>
  <c r="A41" i="1"/>
  <c r="A33" i="1"/>
  <c r="A19" i="1"/>
  <c r="A34" i="1"/>
  <c r="A20" i="1"/>
  <c r="A21" i="1"/>
  <c r="A42" i="1"/>
  <c r="A43" i="1"/>
  <c r="A22" i="1"/>
  <c r="A26" i="1"/>
  <c r="A35" i="1"/>
  <c r="A36" i="1"/>
  <c r="A27" i="1"/>
  <c r="A37" i="1"/>
  <c r="A38" i="1"/>
  <c r="A28" i="1"/>
  <c r="A10" i="1"/>
  <c r="A46" i="1"/>
  <c r="A47" i="1"/>
  <c r="A48" i="1"/>
  <c r="A49" i="1"/>
  <c r="A50" i="1"/>
  <c r="A51" i="1"/>
  <c r="A52" i="1"/>
  <c r="A53" i="1"/>
  <c r="A54" i="1"/>
  <c r="A55" i="1"/>
  <c r="A56" i="1"/>
  <c r="J5" i="9"/>
  <c r="J4" i="9"/>
  <c r="J3" i="9"/>
  <c r="I5" i="9"/>
  <c r="I4" i="9"/>
  <c r="I3" i="9"/>
  <c r="H5" i="9"/>
  <c r="H4" i="9"/>
  <c r="H3" i="9"/>
  <c r="D13" i="9"/>
  <c r="D12" i="9"/>
  <c r="D11" i="9"/>
  <c r="D5" i="9"/>
  <c r="D4" i="9"/>
  <c r="D3" i="9"/>
  <c r="K4" i="9" l="1"/>
  <c r="I6" i="9"/>
  <c r="H6" i="9"/>
  <c r="K3" i="9"/>
  <c r="K5" i="9"/>
  <c r="J6" i="9"/>
  <c r="D14" i="9"/>
  <c r="E12" i="9" s="1"/>
  <c r="D6" i="9"/>
  <c r="E3" i="9" l="1"/>
  <c r="E4" i="9"/>
  <c r="E5" i="9"/>
  <c r="E11" i="9"/>
  <c r="E13" i="9"/>
  <c r="A57" i="1" l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tc={FF2385F3-6218-4F2E-97F5-D040F44C5F76}</author>
    <author>tc={609F0DDD-C00A-4047-8BF7-F532A8D97850}</author>
    <author>tc={CC3863F1-23AA-4064-8389-C63A050C5D8A}</author>
  </authors>
  <commentList>
    <comment ref="G6" authorId="0" shapeId="0" xr:uid="{FF2385F3-6218-4F2E-97F5-D040F44C5F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Nothing listed as presentation style in abstract for program</t>
      </text>
    </comment>
    <comment ref="F10" authorId="1" shapeId="0" xr:uid="{609F0DDD-C00A-4047-8BF7-F532A8D97850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Emailed Nick and OE3C as this abstract shouldn’t be accepted at the moment.</t>
      </text>
    </comment>
    <comment ref="G33" authorId="2" shapeId="0" xr:uid="{CC3863F1-23AA-4064-8389-C63A050C5D8A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lightning talk in abstract for program doc can we confirm what Joe is doing</t>
      </text>
    </comment>
  </commentList>
</comments>
</file>

<file path=xl/sharedStrings.xml><?xml version="1.0" encoding="utf-8"?>
<sst xmlns="http://schemas.openxmlformats.org/spreadsheetml/2006/main" count="553" uniqueCount="215">
  <si>
    <t>&lt;-- Best botany talk consideration</t>
  </si>
  <si>
    <t>Raw Abstract Submission Data:</t>
  </si>
  <si>
    <t>https://brocku-my.sharepoint.com/:x:/r/personal/nb21ts_brocku_ca/Documents/OE3C%202026%20Abstract%20Submission.xlsx?d=w459c53552a944aa08c2aeba44f42c6c0&amp;csf=1&amp;web=1&amp;e=4s9HcS</t>
  </si>
  <si>
    <t>Reviewers</t>
  </si>
  <si>
    <t xml:space="preserve">Nick </t>
  </si>
  <si>
    <t xml:space="preserve">Katharine </t>
  </si>
  <si>
    <t xml:space="preserve">Cassia </t>
  </si>
  <si>
    <t>Sarah</t>
  </si>
  <si>
    <t>Lauren</t>
  </si>
  <si>
    <t>Status</t>
  </si>
  <si>
    <t>Abstract Number (Old)</t>
  </si>
  <si>
    <t>Abstract Number (New)</t>
  </si>
  <si>
    <t>Link to Abstract</t>
  </si>
  <si>
    <t>Name of Submitter</t>
  </si>
  <si>
    <t>Keywords</t>
  </si>
  <si>
    <t>Type of presentation</t>
  </si>
  <si>
    <t>"E" Allignment</t>
  </si>
  <si>
    <t>Approve?</t>
  </si>
  <si>
    <t>Comments</t>
  </si>
  <si>
    <t>Approve?2</t>
  </si>
  <si>
    <t>Comments3</t>
  </si>
  <si>
    <t>Approve?4</t>
  </si>
  <si>
    <t>Comments5</t>
  </si>
  <si>
    <t>Approve?10</t>
  </si>
  <si>
    <t>Comments11</t>
  </si>
  <si>
    <t>Approve?14</t>
  </si>
  <si>
    <t>Comments15</t>
  </si>
  <si>
    <t>LT5</t>
  </si>
  <si>
    <t>Abstract</t>
  </si>
  <si>
    <t>Elora Nabon</t>
  </si>
  <si>
    <t>none</t>
  </si>
  <si>
    <t>Lightning Talk</t>
  </si>
  <si>
    <t>Ecology</t>
  </si>
  <si>
    <t>LT3</t>
  </si>
  <si>
    <t>Alexia Kallmes*</t>
  </si>
  <si>
    <t>connectivity, resilience, network, functional traits</t>
  </si>
  <si>
    <t>Needs to be a fiull length talk for award.</t>
  </si>
  <si>
    <t>LT1</t>
  </si>
  <si>
    <t>Julia Atteck</t>
  </si>
  <si>
    <t>paleolimnology, cladoceran zooplankton, sulfate deposition, climate change, dissolved organic carbon (DOC)</t>
  </si>
  <si>
    <t>LT4</t>
  </si>
  <si>
    <t>Namanpreet Lamba</t>
  </si>
  <si>
    <t>Mycorrhiza, Heritability, Pleiotropy, Nutrients, Selection</t>
  </si>
  <si>
    <t>Evolution</t>
  </si>
  <si>
    <t>P2</t>
  </si>
  <si>
    <t xml:space="preserve"> Joonsoo Sean Lyeo</t>
  </si>
  <si>
    <t>Therapeutic landscapes, Urban nature, Health geography, Scoping review</t>
  </si>
  <si>
    <t>Poster</t>
  </si>
  <si>
    <t>Email sent to Nick as this abstract is copy pasted from his published paper which is a no no</t>
  </si>
  <si>
    <t>P1</t>
  </si>
  <si>
    <t>Lauren Nesbitt</t>
  </si>
  <si>
    <t>paleolimnology, holocene, fire, vegetaton, climate reconstruction</t>
  </si>
  <si>
    <t>P13</t>
  </si>
  <si>
    <t>Kaley Vance</t>
  </si>
  <si>
    <t>Physiological Colour Change, crypsis, Enrichment, Chinook Salmon,</t>
  </si>
  <si>
    <t>P15</t>
  </si>
  <si>
    <t>Avery Ng</t>
  </si>
  <si>
    <t>Benthic Macroinvertebrates, Passive Acoustic Monitoring, Acoustic Complexity Index</t>
  </si>
  <si>
    <t>P10</t>
  </si>
  <si>
    <t>Johanna Kiik</t>
  </si>
  <si>
    <t>invasive species, hybridization, phenology, fitness</t>
  </si>
  <si>
    <t>P9</t>
  </si>
  <si>
    <t>Amanda, Liu</t>
  </si>
  <si>
    <t>Phenology, fitness, shade competitors, shade avoidance syndrome, spring ephemeral</t>
  </si>
  <si>
    <t>P18</t>
  </si>
  <si>
    <t>Bethany Duford</t>
  </si>
  <si>
    <t xml:space="preserve">birds, sex, ecology, methods, sexual-size dimorphism </t>
  </si>
  <si>
    <t>One author</t>
  </si>
  <si>
    <t>P8</t>
  </si>
  <si>
    <t>Noah Rhoden</t>
  </si>
  <si>
    <t xml:space="preserve">Ecology, Evolution, Reproduction, Pollination </t>
  </si>
  <si>
    <t xml:space="preserve">Merged paragraphs- More of a proposal </t>
  </si>
  <si>
    <t>P4</t>
  </si>
  <si>
    <t>Harmandeep Singh</t>
  </si>
  <si>
    <t>Hydroxyl radicals, Clean works, vineyard, lady beetle, pest management</t>
  </si>
  <si>
    <t>One Author, and I added key words as none were listed</t>
  </si>
  <si>
    <t>P17</t>
  </si>
  <si>
    <t>Paige, Au</t>
  </si>
  <si>
    <t xml:space="preserve">Wildlife, Spatial Ecology, Movement Ecology, Bobcats, Camera-Traps </t>
  </si>
  <si>
    <t>P14</t>
  </si>
  <si>
    <t>Morgan Mumma</t>
  </si>
  <si>
    <t>Acid deposition, Cladocera, Reference lakes, Water clarity, DOC</t>
  </si>
  <si>
    <t>Only Author?</t>
  </si>
  <si>
    <t>P16</t>
  </si>
  <si>
    <t>Harry, Kumbhani</t>
  </si>
  <si>
    <t>habitat use, thermoregulation, thermal preference, reptile, ecology</t>
  </si>
  <si>
    <t>Fixed</t>
  </si>
  <si>
    <t>Tsk tsk Harry, copy and pasted abstract from published paper</t>
  </si>
  <si>
    <t>P6</t>
  </si>
  <si>
    <t xml:space="preserve">Gabriela Santos de Paula </t>
  </si>
  <si>
    <t>Hypocreales, entomopathogenic, endophytic, whitefly</t>
  </si>
  <si>
    <t>P11</t>
  </si>
  <si>
    <t>Ella Martin</t>
  </si>
  <si>
    <t xml:space="preserve">natural selection, trophic interactions, predation, Eurosta solidaginis, education </t>
  </si>
  <si>
    <t>P3</t>
  </si>
  <si>
    <t xml:space="preserve">Linh Nguyen </t>
  </si>
  <si>
    <t>Redback spiders, Latrodectus hasselti, Urbanization, Urban Heat Island Effect</t>
  </si>
  <si>
    <t>P5</t>
  </si>
  <si>
    <t>Samia, Saif</t>
  </si>
  <si>
    <t xml:space="preserve"> Gut development, host-microbe interactions, germ free, morphometrics, cockroach</t>
  </si>
  <si>
    <t>Is the co-author</t>
  </si>
  <si>
    <t>P19</t>
  </si>
  <si>
    <t>Anmol Thind</t>
  </si>
  <si>
    <t>Suicide, Inclusive Fitness, Group dynamics, social bonding</t>
  </si>
  <si>
    <t>P7</t>
  </si>
  <si>
    <t>Adrija Paul</t>
  </si>
  <si>
    <t>Speciation, Reproductive Isolation, Caenorhabditis, worms, Evolution</t>
  </si>
  <si>
    <t>italiziations are needed on the scientific name for Drosophila</t>
  </si>
  <si>
    <t>T4</t>
  </si>
  <si>
    <t>Sarah Hein</t>
  </si>
  <si>
    <t xml:space="preserve">Dendrochronology, climate reconstruction, jack pine, subarctic. </t>
  </si>
  <si>
    <t>Seminar Talk</t>
  </si>
  <si>
    <t>T9</t>
  </si>
  <si>
    <t>Sarah Dunn</t>
  </si>
  <si>
    <t xml:space="preserve">CITY LIVING INVERTEBRATES: EXPLORING ABUNDANCE AND DIVERSITY OF INVERTEBRATES THROUGHOUT IQALUIT, NU </t>
  </si>
  <si>
    <t>T7</t>
  </si>
  <si>
    <t>Jennika Mitchell</t>
  </si>
  <si>
    <t>Greenland halibut, Baffin Bay, Population Assessment Model, Size Distribution, Sex Ratio.</t>
  </si>
  <si>
    <t>T6</t>
  </si>
  <si>
    <t>Savannah, Ecclestone</t>
  </si>
  <si>
    <t>White Shark, Biologging, Tri-axial Accelerometry, Predator Ecology, Foraging Behaviour</t>
  </si>
  <si>
    <t>T10</t>
  </si>
  <si>
    <t>Dithara Perera</t>
  </si>
  <si>
    <t>diatom assemblages, least disturbed lakes</t>
  </si>
  <si>
    <t>T11</t>
  </si>
  <si>
    <t>Joe, Armstrong</t>
  </si>
  <si>
    <t>Bees, Temperature, Environmental Influences, Body Size</t>
  </si>
  <si>
    <t>One author, and merged paragraphs - this is a proposal</t>
  </si>
  <si>
    <t>T1</t>
  </si>
  <si>
    <t>Kayla MacNaughton</t>
  </si>
  <si>
    <t>Invasive Plants, Land Ethos, Relationality, Ethnobotany</t>
  </si>
  <si>
    <t>T14</t>
  </si>
  <si>
    <t>Amber French</t>
  </si>
  <si>
    <t>Citizen Science, eBird, Observer, Skill, Learning</t>
  </si>
  <si>
    <t>T17</t>
  </si>
  <si>
    <t>Nicholas Benton</t>
  </si>
  <si>
    <t>Mosquito, Sugar, Survival, Reproduction, Feeding</t>
  </si>
  <si>
    <t>T2</t>
  </si>
  <si>
    <t>Matthew, Summerville</t>
  </si>
  <si>
    <t>Vineyards, Biodiversity, Organic, Native Species, Leafhoppers</t>
  </si>
  <si>
    <t>T5</t>
  </si>
  <si>
    <t>Sophia D'Aurora</t>
  </si>
  <si>
    <t>lake whitefish, acoustic telemetry, Laurentian Great Lakes, GLATOS, home ranges</t>
  </si>
  <si>
    <t>Sophie repsonded and is now on the abstract</t>
  </si>
  <si>
    <t>Sophia is not listed as an author on the abstract...</t>
  </si>
  <si>
    <t>I agree with Kat, Sophia isn't on the author list</t>
  </si>
  <si>
    <t>T13</t>
  </si>
  <si>
    <t>Melanie, Denommé</t>
  </si>
  <si>
    <t>Reptile, Behaviour, Repetitive behaviours, Animal welfare, Husbandry</t>
  </si>
  <si>
    <t>Ethology</t>
  </si>
  <si>
    <t>T16</t>
  </si>
  <si>
    <t>Lyllian Corbin</t>
  </si>
  <si>
    <t>male aggression, juvenile hormone, methoprene, territoriality</t>
  </si>
  <si>
    <t>Merged paragraphs</t>
  </si>
  <si>
    <t>Merge to one paragraph</t>
  </si>
  <si>
    <t>T12</t>
  </si>
  <si>
    <t>Alex Wilder</t>
  </si>
  <si>
    <t>animal behaviour, communication, zoos</t>
  </si>
  <si>
    <t>T15</t>
  </si>
  <si>
    <t>Isaiah, Morrow</t>
  </si>
  <si>
    <t>Mate Choice, Stereotypic Behaviour, Laboratory Mice, Housing Conditions, Sexual Traits</t>
  </si>
  <si>
    <t>On Mice mating choice</t>
  </si>
  <si>
    <t>T8</t>
  </si>
  <si>
    <t>Keshia Lawrence*</t>
  </si>
  <si>
    <t xml:space="preserve">Indigenous, American Eel, Ethology, Biocultural, United Nations </t>
  </si>
  <si>
    <t>Eel talk for Botany?</t>
  </si>
  <si>
    <t>Not related to botony, and abstract does not include any results</t>
  </si>
  <si>
    <t>T18</t>
  </si>
  <si>
    <t>Owen Jamieson</t>
  </si>
  <si>
    <t xml:space="preserve">Sexual dimorphism, Experimental Evolution, Resource Portioning, Drosophila melanogaster, Behavioural Ecology </t>
  </si>
  <si>
    <t>Reduced it to one paragraph</t>
  </si>
  <si>
    <t>Just needs to be one paragraph</t>
  </si>
  <si>
    <t>T3</t>
  </si>
  <si>
    <t xml:space="preserve"> Emily Heagney</t>
  </si>
  <si>
    <t xml:space="preserve"> Pollinator mediated selection, pollinator decline, inflorescence height</t>
  </si>
  <si>
    <t>LT2</t>
  </si>
  <si>
    <t>Anthony, Loschiavo</t>
  </si>
  <si>
    <t>Land cover change, habitat connectivity, socioeconomic development</t>
  </si>
  <si>
    <t>P12</t>
  </si>
  <si>
    <t>Sophie Gauthier</t>
  </si>
  <si>
    <t>Animal behaviour, attention bias, affective state, olfaction, reptile</t>
  </si>
  <si>
    <t>Harry read it and just pretended to be Kat because it was easier than adding myself to the list of ppeople</t>
  </si>
  <si>
    <t>Posters</t>
  </si>
  <si>
    <t>Seminar Talks</t>
  </si>
  <si>
    <t>Lightning Talks</t>
  </si>
  <si>
    <t>Stats Breakdown</t>
  </si>
  <si>
    <t>Presentation Type</t>
  </si>
  <si>
    <t>Number of presentations</t>
  </si>
  <si>
    <t>%</t>
  </si>
  <si>
    <t>Representation breakdown</t>
  </si>
  <si>
    <t>Seminar talk</t>
  </si>
  <si>
    <t>Total</t>
  </si>
  <si>
    <t>x</t>
  </si>
  <si>
    <t>Date:</t>
  </si>
  <si>
    <t>May 1st</t>
  </si>
  <si>
    <t xml:space="preserve">Time: </t>
  </si>
  <si>
    <t>9:30 to 10:30</t>
  </si>
  <si>
    <t>Duration:</t>
  </si>
  <si>
    <t>1 hour</t>
  </si>
  <si>
    <t>Theme:</t>
  </si>
  <si>
    <t>TBD</t>
  </si>
  <si>
    <t>Abstract Number</t>
  </si>
  <si>
    <t>Duration</t>
  </si>
  <si>
    <t>Title of Presentation</t>
  </si>
  <si>
    <t>5 min Q and A</t>
  </si>
  <si>
    <t>SUGGESTION: There are only 5 ethology seminar talks - can they be all in one talk?</t>
  </si>
  <si>
    <t>10:45  to 12:00</t>
  </si>
  <si>
    <t>1 hour 15 minutes</t>
  </si>
  <si>
    <t>15:00 to 16:00</t>
  </si>
  <si>
    <t xml:space="preserve">1 hour </t>
  </si>
  <si>
    <t>16:00  to 17:30</t>
  </si>
  <si>
    <t>1 hour 30 minutes</t>
  </si>
  <si>
    <t>May 2nd</t>
  </si>
  <si>
    <t>9:00  to 10:30</t>
  </si>
  <si>
    <t>13:00 to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</si>
</sst>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1"/>
    <xf numFmtId="0" fontId="0" fillId="0" borderId="4" xfId="0" applyBorder="1"/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/>
    <xf numFmtId="0" fontId="0" fillId="0" borderId="8" xfId="0" applyBorder="1"/>
    <xf numFmtId="0" fontId="2" fillId="0" borderId="0" xfId="0" applyFont="1"/>
    <xf numFmtId="0" fontId="4" fillId="0" borderId="0" xfId="0" applyFont="1"/>
    <xf numFmtId="49" fontId="0" fillId="0" borderId="9" xfId="0" applyNumberFormat="1" applyBorder="1"/>
    <xf numFmtId="0" fontId="0" fillId="3" borderId="0" xfId="0" applyFill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9" fontId="0" fillId="0" borderId="0" xfId="0" applyNumberFormat="1"/>
    <xf numFmtId="0" fontId="0" fillId="2" borderId="0" xfId="0" applyFill="1" applyAlignment="1">
      <alignment horizontal="center"/>
    </xf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4" borderId="0" xfId="0" applyFill="1"/>
    <xf numFmtId="0" fontId="0" fillId="0" borderId="10" xfId="0" applyBorder="1"/>
    <xf numFmtId="49" fontId="0" fillId="6" borderId="9" xfId="0" applyNumberFormat="1" applyFill="1" applyBorder="1"/>
    <xf numFmtId="0" fontId="5" fillId="3" borderId="0" xfId="0" applyFont="1" applyFill="1"/>
    <xf numFmtId="0" fontId="1" fillId="0" borderId="10" xfId="1" applyBorder="1"/>
    <xf numFmtId="49" fontId="0" fillId="0" borderId="0" xfId="0" applyNumberFormat="1"/>
    <xf numFmtId="0" fontId="0" fillId="0" borderId="9" xfId="0" applyBorder="1"/>
    <xf numFmtId="49" fontId="0" fillId="5" borderId="0" xfId="0" applyNumberFormat="1" applyFill="1"/>
    <xf numFmtId="0" fontId="0" fillId="5" borderId="9" xfId="0" applyFill="1" applyBorder="1"/>
    <xf numFmtId="0" fontId="0" fillId="5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Fill="1"/>
  </cellXfs>
  <cellStyles count="2">
    <cellStyle name="Hyperlink" xfId="1" builtinId="8"/>
    <cellStyle name="Normal" xfId="0" builtinId="0"/>
  </cellStyles>
  <dxfs count="10">
    <dxf>
      <border diagonalUp="0" diagonalDown="0">
        <left style="medium">
          <color rgb="FF000000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/>
        <right style="medium">
          <color rgb="FF000000"/>
        </right>
        <top/>
        <bottom/>
        <vertical/>
        <horizontal/>
      </border>
    </dxf>
    <dxf>
      <border diagonalUp="0" diagonalDown="0">
        <left style="medium">
          <color rgb="FF000000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medium">
          <color rgb="FF000000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medium">
          <color rgb="FF000000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medium">
          <color rgb="FF000000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medium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auren Nesbitt" id="{0F7BD48C-E5AF-4330-81B9-212CA313618B}" userId="S::ln15ks@brocku.ca::91b18ef0-fb49-4955-adb2-0c1750525b74" providerId="AD"/>
  <person displayName="Harry Kumbhani" id="{127C2E45-6223-4C19-9339-7B91AEF647C2}" userId="S::rh24iu@brocku.ca::a58a578e-30e0-4fca-ae52-4957f5112af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63E12-4DAC-4009-BC2A-075E84D81B5D}" name="Table1" displayName="Table1" ref="A5:R45" totalsRowShown="0" headerRowDxfId="8" tableBorderDxfId="7">
  <autoFilter ref="A5:R45" xr:uid="{28563E12-4DAC-4009-BC2A-075E84D81B5D}"/>
  <sortState xmlns:xlrd2="http://schemas.microsoft.com/office/spreadsheetml/2017/richdata2" ref="A6:R45">
    <sortCondition ref="G5:G45"/>
  </sortState>
  <tableColumns count="18">
    <tableColumn id="1" xr3:uid="{32D0EC75-7FBB-469B-AD68-B58AAAA98091}" name="Status">
      <calculatedColumnFormula>IF(COUNTIF(I6:R6, TRUE) &gt;= 2, "Complete", "In Progress")</calculatedColumnFormula>
    </tableColumn>
    <tableColumn id="2" xr3:uid="{0D854E6D-3B7F-4DBE-88EA-F288B0CC169D}" name="Abstract Number (Old)"/>
    <tableColumn id="14" xr3:uid="{DDC452C0-E054-4D1F-9B64-8CA423DEBED8}" name="Abstract Number (New)"/>
    <tableColumn id="3" xr3:uid="{6DBA5F56-C9DC-4EF3-997B-229D24A650F4}" name="Link to Abstract" dataCellStyle="Hyperlink"/>
    <tableColumn id="4" xr3:uid="{EEFA747F-2CDA-4B45-ADF1-EF721ECA586D}" name="Name of Submitter"/>
    <tableColumn id="5" xr3:uid="{64D264A2-3081-48B3-B6C8-9588A968BA84}" name="Keywords" dataDxfId="6"/>
    <tableColumn id="6" xr3:uid="{E82E4986-4B14-42F9-B25F-A03E32376E44}" name="Type of presentation"/>
    <tableColumn id="7" xr3:uid="{555B6FB1-8F3E-49A0-889E-BC41825A97A9}" name="&quot;E&quot; Allignment"/>
    <tableColumn id="8" xr3:uid="{0F9ED850-1C2A-4C30-B0D6-C2B7A6B2E637}" name="Approve?" dataDxfId="5"/>
    <tableColumn id="9" xr3:uid="{42E01ADB-E58B-435B-914C-BD58D0C57C12}" name="Comments"/>
    <tableColumn id="10" xr3:uid="{5A300412-2C53-42E8-8D23-637F6F88A0BC}" name="Approve?2" dataDxfId="4"/>
    <tableColumn id="11" xr3:uid="{28C4DAE8-E910-41EE-AB0E-97729B6F1BC9}" name="Comments3"/>
    <tableColumn id="12" xr3:uid="{9325A3DC-5739-4DBB-A04A-7D3D8F3A2063}" name="Approve?4" dataDxfId="3"/>
    <tableColumn id="13" xr3:uid="{476187FB-7C3E-49F4-9669-047FC918CF7B}" name="Comments5"/>
    <tableColumn id="18" xr3:uid="{9E4B045F-D23F-4DF6-885F-791D7A087FC3}" name="Approve?10" dataDxfId="2"/>
    <tableColumn id="19" xr3:uid="{62A90D7F-9266-4703-BF7E-3A640D307CED}" name="Comments11" dataDxfId="1"/>
    <tableColumn id="22" xr3:uid="{C56C025B-C972-496F-A015-F04690E633E5}" name="Approve?14" dataDxfId="0"/>
    <tableColumn id="23" xr3:uid="{6F380293-6A4E-4064-A379-B7D9AD0AAC01}" name="Comments1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6-04-20T13:34:39.91" personId="{127C2E45-6223-4C19-9339-7B91AEF647C2}" id="{FF2385F3-6218-4F2E-97F5-D040F44C5F76}">
    <text>Nothing listed as presentation style in abstract for program</text>
  </threadedComment>
  <threadedComment ref="F10" dT="2026-04-18T20:54:39.22" personId="{0F7BD48C-E5AF-4330-81B9-212CA313618B}" id="{609F0DDD-C00A-4047-8BF7-F532A8D97850}">
    <text>Emailed Nick and OE3C as this abstract shouldn’t be accepted at the moment.</text>
  </threadedComment>
  <threadedComment ref="G33" dT="2026-04-20T13:35:35.08" personId="{127C2E45-6223-4C19-9339-7B91AEF647C2}" id="{CC3863F1-23AA-4064-8389-C63A050C5D8A}">
    <text>Listed as lightning talk in abstract for program doc can we confirm what Joe is doing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1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6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5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2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1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6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5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Relationship Id="rId4" Type="http://schemas.openxmlformats.org/officeDocument/2006/relationships/hyperlink" Target="../../../../../:w:/r/sites/OE3Conference2026/Shared%20Documents/Files%20and%20Documents/Abstracts/Abstract%20Program.docx?d=w54a880c591d5405e82927cee04e5e4b0&amp;csf=1&amp;web=1&amp;e=ASDYQ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6"/>
  <sheetViews>
    <sheetView zoomScale="96" workbookViewId="0">
      <pane ySplit="5" topLeftCell="A33" activePane="bottomLeft" state="frozen"/>
      <selection pane="bottomLeft" activeCell="B5" sqref="B5:E47"/>
    </sheetView>
  </sheetViews>
  <sheetFormatPr defaultColWidth="8.85546875" defaultRowHeight="15" customHeight="1"/>
  <cols>
    <col min="1" max="1" width="12.140625" bestFit="1" customWidth="1"/>
    <col min="2" max="2" width="19.28515625" bestFit="1" customWidth="1"/>
    <col min="3" max="3" width="25" bestFit="1" customWidth="1"/>
    <col min="4" max="4" width="18" bestFit="1" customWidth="1"/>
    <col min="5" max="5" width="33.42578125" bestFit="1" customWidth="1"/>
    <col min="6" max="6" width="113" bestFit="1" customWidth="1"/>
    <col min="7" max="7" width="22.28515625" bestFit="1" customWidth="1"/>
    <col min="8" max="8" width="16.7109375" bestFit="1" customWidth="1"/>
    <col min="9" max="9" width="12" bestFit="1" customWidth="1"/>
    <col min="10" max="10" width="41.42578125" bestFit="1" customWidth="1"/>
    <col min="11" max="11" width="13.140625" bestFit="1" customWidth="1"/>
    <col min="12" max="12" width="43.7109375" bestFit="1" customWidth="1"/>
    <col min="13" max="13" width="13.140625" bestFit="1" customWidth="1"/>
    <col min="14" max="15" width="14.140625" bestFit="1" customWidth="1"/>
    <col min="16" max="16" width="56" bestFit="1" customWidth="1"/>
    <col min="17" max="17" width="14.140625" bestFit="1" customWidth="1"/>
    <col min="18" max="18" width="78.7109375" bestFit="1" customWidth="1"/>
  </cols>
  <sheetData>
    <row r="2" spans="1:18">
      <c r="D2" s="10"/>
      <c r="E2" t="s">
        <v>0</v>
      </c>
      <c r="F2" t="s">
        <v>1</v>
      </c>
      <c r="G2" t="s">
        <v>2</v>
      </c>
    </row>
    <row r="3" spans="1:18">
      <c r="I3" t="s">
        <v>3</v>
      </c>
    </row>
    <row r="4" spans="1:18" ht="14.45" customHeight="1">
      <c r="I4" s="29" t="s">
        <v>4</v>
      </c>
      <c r="J4" s="31"/>
      <c r="K4" s="29" t="s">
        <v>5</v>
      </c>
      <c r="L4" s="31"/>
      <c r="M4" s="29" t="s">
        <v>6</v>
      </c>
      <c r="N4" s="31"/>
      <c r="O4" s="29" t="s">
        <v>7</v>
      </c>
      <c r="P4" s="30"/>
      <c r="Q4" s="29" t="s">
        <v>8</v>
      </c>
      <c r="R4" s="30"/>
    </row>
    <row r="5" spans="1:18">
      <c r="A5" s="11" t="s">
        <v>9</v>
      </c>
      <c r="B5" s="11" t="s">
        <v>10</v>
      </c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  <c r="I5" s="12" t="s">
        <v>17</v>
      </c>
      <c r="J5" s="11" t="s">
        <v>18</v>
      </c>
      <c r="K5" s="12" t="s">
        <v>19</v>
      </c>
      <c r="L5" s="11" t="s">
        <v>20</v>
      </c>
      <c r="M5" s="12" t="s">
        <v>21</v>
      </c>
      <c r="N5" s="11" t="s">
        <v>22</v>
      </c>
      <c r="O5" s="12" t="s">
        <v>23</v>
      </c>
      <c r="P5" s="13" t="s">
        <v>24</v>
      </c>
      <c r="Q5" s="12" t="s">
        <v>25</v>
      </c>
      <c r="R5" s="11" t="s">
        <v>26</v>
      </c>
    </row>
    <row r="6" spans="1:18">
      <c r="A6" t="str">
        <f>IF(COUNTIF(I6:R6, TRUE) &gt;= 2, "Complete", "In Progress")</f>
        <v>Complete</v>
      </c>
      <c r="B6">
        <v>7</v>
      </c>
      <c r="C6" t="s">
        <v>27</v>
      </c>
      <c r="D6" s="1" t="s">
        <v>28</v>
      </c>
      <c r="E6" t="s">
        <v>29</v>
      </c>
      <c r="F6" t="s">
        <v>30</v>
      </c>
      <c r="G6" t="s">
        <v>31</v>
      </c>
      <c r="H6" t="s">
        <v>32</v>
      </c>
      <c r="I6" s="3" t="b">
        <v>0</v>
      </c>
      <c r="K6" s="3" t="b">
        <v>0</v>
      </c>
      <c r="M6" s="3" t="b">
        <v>1</v>
      </c>
      <c r="O6" s="3" t="b">
        <v>0</v>
      </c>
      <c r="P6" s="2"/>
      <c r="Q6" s="3" t="b">
        <v>1</v>
      </c>
    </row>
    <row r="7" spans="1:18">
      <c r="A7" t="str">
        <f>IF(COUNTIF(I7:R7, TRUE) &gt;= 2, "Complete", "In Progress")</f>
        <v>Complete</v>
      </c>
      <c r="B7">
        <v>19</v>
      </c>
      <c r="C7" t="s">
        <v>33</v>
      </c>
      <c r="D7" s="1" t="s">
        <v>28</v>
      </c>
      <c r="E7" s="28" t="s">
        <v>34</v>
      </c>
      <c r="F7" t="s">
        <v>35</v>
      </c>
      <c r="G7" t="s">
        <v>31</v>
      </c>
      <c r="H7" t="s">
        <v>32</v>
      </c>
      <c r="I7" s="3" t="b">
        <v>1</v>
      </c>
      <c r="J7" t="s">
        <v>36</v>
      </c>
      <c r="K7" s="3" t="b">
        <v>0</v>
      </c>
      <c r="M7" s="3" t="b">
        <v>0</v>
      </c>
      <c r="O7" s="3" t="b">
        <v>1</v>
      </c>
      <c r="P7" s="2"/>
      <c r="Q7" s="3" t="b">
        <v>0</v>
      </c>
    </row>
    <row r="8" spans="1:18">
      <c r="A8" t="str">
        <f>IF(COUNTIF(I8:R8, TRUE) &gt;= 2, "Complete", "In Progress")</f>
        <v>Complete</v>
      </c>
      <c r="B8">
        <v>20</v>
      </c>
      <c r="C8" t="s">
        <v>37</v>
      </c>
      <c r="D8" s="1" t="s">
        <v>28</v>
      </c>
      <c r="E8" s="24" t="s">
        <v>38</v>
      </c>
      <c r="F8" s="24" t="s">
        <v>39</v>
      </c>
      <c r="G8" t="s">
        <v>31</v>
      </c>
      <c r="H8" t="s">
        <v>32</v>
      </c>
      <c r="I8" s="3" t="b">
        <v>1</v>
      </c>
      <c r="K8" s="3" t="b">
        <v>0</v>
      </c>
      <c r="M8" s="3" t="b">
        <v>0</v>
      </c>
      <c r="O8" s="3" t="b">
        <v>1</v>
      </c>
      <c r="P8" s="2"/>
      <c r="Q8" s="3" t="b">
        <v>0</v>
      </c>
    </row>
    <row r="9" spans="1:18">
      <c r="A9" t="str">
        <f>IF(COUNTIF(I9:R9, TRUE) &gt;= 2, "Complete", "In Progress")</f>
        <v>Complete</v>
      </c>
      <c r="B9">
        <v>10</v>
      </c>
      <c r="C9" t="s">
        <v>40</v>
      </c>
      <c r="D9" s="1" t="s">
        <v>28</v>
      </c>
      <c r="E9" s="8" t="s">
        <v>41</v>
      </c>
      <c r="F9" s="8" t="s">
        <v>42</v>
      </c>
      <c r="G9" t="s">
        <v>31</v>
      </c>
      <c r="H9" s="8" t="s">
        <v>43</v>
      </c>
      <c r="I9" s="3" t="b">
        <v>1</v>
      </c>
      <c r="K9" s="3" t="b">
        <v>0</v>
      </c>
      <c r="M9" s="3" t="b">
        <v>0</v>
      </c>
      <c r="O9" s="3" t="b">
        <v>1</v>
      </c>
      <c r="P9" s="2"/>
      <c r="Q9" s="3" t="b">
        <v>0</v>
      </c>
    </row>
    <row r="10" spans="1:18">
      <c r="A10" s="19" t="str">
        <f>IF(COUNTIF(I10:Q10,TRUE) &gt;= 2, "Complete", "In Progress")</f>
        <v>In Progress</v>
      </c>
      <c r="B10">
        <v>1</v>
      </c>
      <c r="C10" t="s">
        <v>44</v>
      </c>
      <c r="D10" s="1" t="s">
        <v>28</v>
      </c>
      <c r="E10" t="s">
        <v>45</v>
      </c>
      <c r="F10" s="19" t="s">
        <v>46</v>
      </c>
      <c r="G10" t="s">
        <v>47</v>
      </c>
      <c r="H10" t="s">
        <v>32</v>
      </c>
      <c r="I10" s="3" t="b">
        <v>0</v>
      </c>
      <c r="K10" s="3" t="b">
        <v>0</v>
      </c>
      <c r="M10" s="3" t="b">
        <v>1</v>
      </c>
      <c r="O10" s="3" t="b">
        <v>0</v>
      </c>
      <c r="P10" s="2"/>
      <c r="Q10" s="3" t="b">
        <v>0</v>
      </c>
      <c r="R10" t="s">
        <v>48</v>
      </c>
    </row>
    <row r="11" spans="1:18">
      <c r="A11" t="str">
        <f t="shared" ref="A11:A45" si="0">IF(COUNTIF(I11:R11, TRUE) &gt;= 2, "Complete", "In Progress")</f>
        <v>Complete</v>
      </c>
      <c r="B11">
        <v>3</v>
      </c>
      <c r="C11" t="s">
        <v>49</v>
      </c>
      <c r="D11" s="1" t="s">
        <v>28</v>
      </c>
      <c r="E11" t="s">
        <v>50</v>
      </c>
      <c r="F11" t="s">
        <v>51</v>
      </c>
      <c r="G11" t="s">
        <v>47</v>
      </c>
      <c r="H11" t="s">
        <v>32</v>
      </c>
      <c r="I11" s="3" t="b">
        <v>0</v>
      </c>
      <c r="K11" s="3" t="b">
        <v>0</v>
      </c>
      <c r="M11" s="3" t="b">
        <v>1</v>
      </c>
      <c r="O11" s="3" t="b">
        <v>1</v>
      </c>
      <c r="P11" s="2"/>
      <c r="Q11" s="3" t="b">
        <v>0</v>
      </c>
    </row>
    <row r="12" spans="1:18" ht="15.75">
      <c r="A12" t="str">
        <f t="shared" si="0"/>
        <v>Complete</v>
      </c>
      <c r="B12">
        <v>8</v>
      </c>
      <c r="C12" t="s">
        <v>52</v>
      </c>
      <c r="D12" s="1" t="s">
        <v>28</v>
      </c>
      <c r="E12" t="s">
        <v>53</v>
      </c>
      <c r="F12" s="7" t="s">
        <v>54</v>
      </c>
      <c r="G12" t="s">
        <v>47</v>
      </c>
      <c r="H12" t="s">
        <v>32</v>
      </c>
      <c r="I12" s="3" t="b">
        <v>0</v>
      </c>
      <c r="K12" s="3" t="b">
        <v>0</v>
      </c>
      <c r="M12" s="3" t="b">
        <v>1</v>
      </c>
      <c r="O12" s="3" t="b">
        <v>0</v>
      </c>
      <c r="P12" s="2"/>
      <c r="Q12" s="3" t="b">
        <v>1</v>
      </c>
    </row>
    <row r="13" spans="1:18">
      <c r="A13" t="str">
        <f t="shared" si="0"/>
        <v>Complete</v>
      </c>
      <c r="B13">
        <v>11</v>
      </c>
      <c r="C13" t="s">
        <v>55</v>
      </c>
      <c r="D13" s="1" t="s">
        <v>28</v>
      </c>
      <c r="E13" t="s">
        <v>56</v>
      </c>
      <c r="F13" t="s">
        <v>57</v>
      </c>
      <c r="G13" t="s">
        <v>47</v>
      </c>
      <c r="H13" t="s">
        <v>32</v>
      </c>
      <c r="I13" s="3" t="b">
        <v>0</v>
      </c>
      <c r="K13" s="3" t="b">
        <v>0</v>
      </c>
      <c r="M13" s="3" t="b">
        <v>1</v>
      </c>
      <c r="O13" s="3" t="b">
        <v>0</v>
      </c>
      <c r="P13" s="2"/>
      <c r="Q13" s="3" t="b">
        <v>1</v>
      </c>
    </row>
    <row r="14" spans="1:18">
      <c r="A14" t="str">
        <f t="shared" si="0"/>
        <v>Complete</v>
      </c>
      <c r="B14">
        <v>14</v>
      </c>
      <c r="C14" t="s">
        <v>58</v>
      </c>
      <c r="D14" s="1" t="s">
        <v>28</v>
      </c>
      <c r="E14" s="26" t="s">
        <v>59</v>
      </c>
      <c r="F14" s="24" t="s">
        <v>60</v>
      </c>
      <c r="G14" t="s">
        <v>47</v>
      </c>
      <c r="H14" t="s">
        <v>32</v>
      </c>
      <c r="I14" s="3" t="b">
        <v>0</v>
      </c>
      <c r="K14" s="3" t="b">
        <v>0</v>
      </c>
      <c r="M14" s="3" t="b">
        <v>0</v>
      </c>
      <c r="O14" s="3" t="b">
        <v>1</v>
      </c>
      <c r="P14" s="2"/>
      <c r="Q14" s="3" t="b">
        <v>1</v>
      </c>
    </row>
    <row r="15" spans="1:18">
      <c r="A15" t="str">
        <f t="shared" si="0"/>
        <v>Complete</v>
      </c>
      <c r="B15">
        <v>15</v>
      </c>
      <c r="C15" t="s">
        <v>61</v>
      </c>
      <c r="D15" s="1" t="s">
        <v>28</v>
      </c>
      <c r="E15" t="s">
        <v>62</v>
      </c>
      <c r="F15" t="s">
        <v>63</v>
      </c>
      <c r="G15" t="s">
        <v>47</v>
      </c>
      <c r="H15" t="s">
        <v>32</v>
      </c>
      <c r="I15" s="3" t="b">
        <v>0</v>
      </c>
      <c r="K15" s="3" t="b">
        <v>0</v>
      </c>
      <c r="M15" s="3" t="b">
        <v>0</v>
      </c>
      <c r="O15" s="3" t="b">
        <v>1</v>
      </c>
      <c r="P15" s="2"/>
      <c r="Q15" s="3" t="b">
        <v>1</v>
      </c>
    </row>
    <row r="16" spans="1:18">
      <c r="A16" t="str">
        <f t="shared" si="0"/>
        <v>Complete</v>
      </c>
      <c r="B16">
        <v>17</v>
      </c>
      <c r="C16" t="s">
        <v>64</v>
      </c>
      <c r="D16" s="1" t="s">
        <v>28</v>
      </c>
      <c r="E16" t="s">
        <v>65</v>
      </c>
      <c r="F16" t="s">
        <v>66</v>
      </c>
      <c r="G16" t="s">
        <v>47</v>
      </c>
      <c r="H16" t="s">
        <v>32</v>
      </c>
      <c r="I16" s="3" t="b">
        <v>1</v>
      </c>
      <c r="K16" s="3" t="b">
        <v>0</v>
      </c>
      <c r="M16" s="3" t="b">
        <v>0</v>
      </c>
      <c r="O16" s="3" t="b">
        <v>1</v>
      </c>
      <c r="P16" s="2" t="s">
        <v>67</v>
      </c>
      <c r="Q16" s="3" t="b">
        <v>0</v>
      </c>
    </row>
    <row r="17" spans="1:18">
      <c r="A17" t="str">
        <f t="shared" si="0"/>
        <v>Complete</v>
      </c>
      <c r="B17">
        <v>24</v>
      </c>
      <c r="C17" t="s">
        <v>68</v>
      </c>
      <c r="D17" s="1" t="s">
        <v>28</v>
      </c>
      <c r="E17" s="25" t="s">
        <v>69</v>
      </c>
      <c r="F17" s="25" t="s">
        <v>70</v>
      </c>
      <c r="G17" t="s">
        <v>47</v>
      </c>
      <c r="H17" t="s">
        <v>32</v>
      </c>
      <c r="I17" s="3" t="b">
        <v>1</v>
      </c>
      <c r="K17" s="3" t="b">
        <v>0</v>
      </c>
      <c r="M17" s="3" t="b">
        <v>0</v>
      </c>
      <c r="O17" s="3" t="b">
        <v>1</v>
      </c>
      <c r="P17" s="2" t="s">
        <v>71</v>
      </c>
      <c r="Q17" s="3" t="b">
        <v>0</v>
      </c>
    </row>
    <row r="18" spans="1:18">
      <c r="A18" t="str">
        <f t="shared" si="0"/>
        <v>Complete</v>
      </c>
      <c r="B18">
        <v>25</v>
      </c>
      <c r="C18" t="s">
        <v>72</v>
      </c>
      <c r="D18" s="1" t="s">
        <v>28</v>
      </c>
      <c r="E18" s="24" t="s">
        <v>73</v>
      </c>
      <c r="F18" s="24" t="s">
        <v>74</v>
      </c>
      <c r="G18" t="s">
        <v>47</v>
      </c>
      <c r="H18" t="s">
        <v>32</v>
      </c>
      <c r="I18" s="3" t="b">
        <v>1</v>
      </c>
      <c r="K18" s="3" t="b">
        <v>0</v>
      </c>
      <c r="M18" s="3" t="b">
        <v>0</v>
      </c>
      <c r="O18" s="3" t="b">
        <v>1</v>
      </c>
      <c r="P18" s="2" t="s">
        <v>75</v>
      </c>
      <c r="Q18" s="3" t="b">
        <v>0</v>
      </c>
    </row>
    <row r="19" spans="1:18">
      <c r="A19" t="str">
        <f t="shared" si="0"/>
        <v>Complete</v>
      </c>
      <c r="B19">
        <v>28</v>
      </c>
      <c r="C19" t="s">
        <v>76</v>
      </c>
      <c r="D19" s="1" t="s">
        <v>28</v>
      </c>
      <c r="E19" s="9" t="s">
        <v>77</v>
      </c>
      <c r="F19" s="9" t="s">
        <v>78</v>
      </c>
      <c r="G19" t="s">
        <v>47</v>
      </c>
      <c r="H19" t="s">
        <v>32</v>
      </c>
      <c r="I19" s="3" t="b">
        <v>1</v>
      </c>
      <c r="K19" s="3" t="b">
        <v>0</v>
      </c>
      <c r="M19" s="3" t="b">
        <v>0</v>
      </c>
      <c r="O19" s="3" t="b">
        <v>1</v>
      </c>
      <c r="P19" s="2"/>
      <c r="Q19" s="3" t="b">
        <v>0</v>
      </c>
    </row>
    <row r="20" spans="1:18">
      <c r="A20" t="str">
        <f t="shared" si="0"/>
        <v>Complete</v>
      </c>
      <c r="B20">
        <v>30</v>
      </c>
      <c r="C20" t="s">
        <v>79</v>
      </c>
      <c r="D20" s="1" t="s">
        <v>28</v>
      </c>
      <c r="E20" s="24" t="s">
        <v>80</v>
      </c>
      <c r="F20" s="24" t="s">
        <v>81</v>
      </c>
      <c r="G20" t="s">
        <v>47</v>
      </c>
      <c r="H20" s="24" t="s">
        <v>32</v>
      </c>
      <c r="I20" s="3" t="b">
        <v>1</v>
      </c>
      <c r="K20" s="3" t="b">
        <v>0</v>
      </c>
      <c r="M20" s="3" t="b">
        <v>0</v>
      </c>
      <c r="O20" s="3" t="b">
        <v>1</v>
      </c>
      <c r="P20" s="2" t="s">
        <v>82</v>
      </c>
      <c r="Q20" s="3" t="b">
        <v>0</v>
      </c>
    </row>
    <row r="21" spans="1:18">
      <c r="A21" t="str">
        <f t="shared" si="0"/>
        <v>Complete</v>
      </c>
      <c r="B21">
        <v>31</v>
      </c>
      <c r="C21" t="s">
        <v>83</v>
      </c>
      <c r="D21" s="1" t="s">
        <v>28</v>
      </c>
      <c r="E21" s="25" t="s">
        <v>84</v>
      </c>
      <c r="F21" s="21" t="s">
        <v>85</v>
      </c>
      <c r="G21" t="s">
        <v>47</v>
      </c>
      <c r="H21" t="s">
        <v>32</v>
      </c>
      <c r="I21" s="3" t="b">
        <v>1</v>
      </c>
      <c r="J21" t="s">
        <v>86</v>
      </c>
      <c r="K21" s="3" t="b">
        <v>0</v>
      </c>
      <c r="M21" s="3" t="b">
        <v>0</v>
      </c>
      <c r="O21" s="3" t="b">
        <v>1</v>
      </c>
      <c r="P21" s="2" t="s">
        <v>87</v>
      </c>
      <c r="Q21" s="3" t="b">
        <v>0</v>
      </c>
    </row>
    <row r="22" spans="1:18">
      <c r="A22" t="str">
        <f t="shared" si="0"/>
        <v>Complete</v>
      </c>
      <c r="B22">
        <v>34</v>
      </c>
      <c r="C22" t="s">
        <v>88</v>
      </c>
      <c r="D22" s="1" t="s">
        <v>28</v>
      </c>
      <c r="E22" t="s">
        <v>89</v>
      </c>
      <c r="F22" t="s">
        <v>90</v>
      </c>
      <c r="G22" t="s">
        <v>47</v>
      </c>
      <c r="H22" t="s">
        <v>32</v>
      </c>
      <c r="I22" s="3" t="b">
        <v>1</v>
      </c>
      <c r="K22" s="3" t="b">
        <v>0</v>
      </c>
      <c r="M22" s="3" t="b">
        <v>0</v>
      </c>
      <c r="O22" s="3" t="b">
        <v>1</v>
      </c>
      <c r="P22" s="2"/>
      <c r="Q22" s="3" t="b">
        <v>0</v>
      </c>
    </row>
    <row r="23" spans="1:18">
      <c r="A23" t="str">
        <f t="shared" si="0"/>
        <v>Complete</v>
      </c>
      <c r="B23">
        <v>4</v>
      </c>
      <c r="C23" t="s">
        <v>91</v>
      </c>
      <c r="D23" s="1" t="s">
        <v>28</v>
      </c>
      <c r="E23" s="25" t="s">
        <v>92</v>
      </c>
      <c r="F23" s="25" t="s">
        <v>93</v>
      </c>
      <c r="G23" t="s">
        <v>47</v>
      </c>
      <c r="H23" s="25" t="s">
        <v>43</v>
      </c>
      <c r="I23" s="3" t="b">
        <v>0</v>
      </c>
      <c r="K23" s="3" t="b">
        <v>0</v>
      </c>
      <c r="M23" s="3" t="b">
        <v>1</v>
      </c>
      <c r="O23" s="3" t="b">
        <v>0</v>
      </c>
      <c r="P23" s="2"/>
      <c r="Q23" s="3" t="b">
        <v>1</v>
      </c>
    </row>
    <row r="24" spans="1:18">
      <c r="A24" t="str">
        <f t="shared" si="0"/>
        <v>Complete</v>
      </c>
      <c r="B24">
        <v>21</v>
      </c>
      <c r="C24" t="s">
        <v>94</v>
      </c>
      <c r="D24" s="1" t="s">
        <v>28</v>
      </c>
      <c r="E24" t="s">
        <v>95</v>
      </c>
      <c r="F24" t="s">
        <v>96</v>
      </c>
      <c r="G24" t="s">
        <v>47</v>
      </c>
      <c r="H24" t="s">
        <v>43</v>
      </c>
      <c r="I24" s="3" t="b">
        <v>1</v>
      </c>
      <c r="K24" s="3" t="b">
        <v>0</v>
      </c>
      <c r="M24" s="3" t="b">
        <v>0</v>
      </c>
      <c r="O24" s="3" t="b">
        <v>1</v>
      </c>
      <c r="P24" s="2"/>
      <c r="Q24" s="3" t="b">
        <v>0</v>
      </c>
    </row>
    <row r="25" spans="1:18">
      <c r="A25" t="str">
        <f t="shared" si="0"/>
        <v>Complete</v>
      </c>
      <c r="B25">
        <v>23</v>
      </c>
      <c r="C25" t="s">
        <v>97</v>
      </c>
      <c r="D25" s="1" t="s">
        <v>28</v>
      </c>
      <c r="E25" s="9" t="s">
        <v>98</v>
      </c>
      <c r="F25" s="9" t="s">
        <v>99</v>
      </c>
      <c r="G25" t="s">
        <v>47</v>
      </c>
      <c r="H25" t="s">
        <v>43</v>
      </c>
      <c r="I25" s="3" t="b">
        <v>1</v>
      </c>
      <c r="K25" s="3" t="b">
        <v>0</v>
      </c>
      <c r="M25" s="3" t="b">
        <v>0</v>
      </c>
      <c r="O25" s="3" t="b">
        <v>1</v>
      </c>
      <c r="P25" s="2" t="s">
        <v>100</v>
      </c>
      <c r="Q25" s="3" t="b">
        <v>0</v>
      </c>
    </row>
    <row r="26" spans="1:18">
      <c r="A26" t="str">
        <f t="shared" si="0"/>
        <v>Complete</v>
      </c>
      <c r="B26">
        <v>35</v>
      </c>
      <c r="C26" t="s">
        <v>101</v>
      </c>
      <c r="D26" s="1" t="s">
        <v>28</v>
      </c>
      <c r="E26" s="24" t="s">
        <v>102</v>
      </c>
      <c r="F26" s="24" t="s">
        <v>103</v>
      </c>
      <c r="G26" t="s">
        <v>47</v>
      </c>
      <c r="H26" t="s">
        <v>43</v>
      </c>
      <c r="I26" s="3" t="b">
        <v>1</v>
      </c>
      <c r="K26" s="3" t="b">
        <v>0</v>
      </c>
      <c r="M26" s="3" t="b">
        <v>0</v>
      </c>
      <c r="O26" s="3" t="b">
        <v>1</v>
      </c>
      <c r="P26" s="2" t="s">
        <v>75</v>
      </c>
      <c r="Q26" s="3" t="b">
        <v>0</v>
      </c>
    </row>
    <row r="27" spans="1:18">
      <c r="A27" t="str">
        <f t="shared" si="0"/>
        <v>Complete</v>
      </c>
      <c r="B27">
        <v>38</v>
      </c>
      <c r="C27" t="s">
        <v>104</v>
      </c>
      <c r="D27" s="1" t="s">
        <v>28</v>
      </c>
      <c r="E27" s="25" t="s">
        <v>105</v>
      </c>
      <c r="F27" s="9" t="s">
        <v>106</v>
      </c>
      <c r="G27" t="s">
        <v>47</v>
      </c>
      <c r="H27" t="s">
        <v>43</v>
      </c>
      <c r="I27" s="3" t="b">
        <v>0</v>
      </c>
      <c r="K27" s="3" t="b">
        <v>1</v>
      </c>
      <c r="M27" s="3" t="b">
        <v>0</v>
      </c>
      <c r="O27" s="3" t="b">
        <v>0</v>
      </c>
      <c r="P27" s="2"/>
      <c r="Q27" s="3" t="b">
        <v>1</v>
      </c>
      <c r="R27" s="22" t="s">
        <v>107</v>
      </c>
    </row>
    <row r="28" spans="1:18">
      <c r="A28" t="str">
        <f t="shared" si="0"/>
        <v>Complete</v>
      </c>
      <c r="B28">
        <v>2</v>
      </c>
      <c r="C28" t="s">
        <v>108</v>
      </c>
      <c r="D28" s="1" t="s">
        <v>28</v>
      </c>
      <c r="E28" s="27" t="s">
        <v>109</v>
      </c>
      <c r="F28" s="25" t="s">
        <v>110</v>
      </c>
      <c r="G28" t="s">
        <v>111</v>
      </c>
      <c r="H28" t="s">
        <v>32</v>
      </c>
      <c r="I28" s="3" t="b">
        <v>0</v>
      </c>
      <c r="K28" s="3" t="b">
        <v>1</v>
      </c>
      <c r="M28" s="3" t="b">
        <v>1</v>
      </c>
      <c r="O28" s="3" t="b">
        <v>0</v>
      </c>
      <c r="P28" s="2"/>
      <c r="Q28" s="3" t="b">
        <v>0</v>
      </c>
    </row>
    <row r="29" spans="1:18">
      <c r="A29" t="str">
        <f t="shared" si="0"/>
        <v>Complete</v>
      </c>
      <c r="B29">
        <v>9</v>
      </c>
      <c r="C29" t="s">
        <v>112</v>
      </c>
      <c r="D29" s="1" t="s">
        <v>28</v>
      </c>
      <c r="E29" t="s">
        <v>113</v>
      </c>
      <c r="F29" t="s">
        <v>114</v>
      </c>
      <c r="G29" t="s">
        <v>111</v>
      </c>
      <c r="H29" t="s">
        <v>32</v>
      </c>
      <c r="I29" s="3" t="b">
        <v>0</v>
      </c>
      <c r="K29" s="3" t="b">
        <v>0</v>
      </c>
      <c r="M29" s="3" t="b">
        <v>1</v>
      </c>
      <c r="O29" s="3" t="b">
        <v>1</v>
      </c>
      <c r="P29" s="2"/>
      <c r="Q29" s="3" t="b">
        <v>0</v>
      </c>
    </row>
    <row r="30" spans="1:18">
      <c r="A30" t="str">
        <f t="shared" si="0"/>
        <v>Complete</v>
      </c>
      <c r="B30">
        <v>12</v>
      </c>
      <c r="C30" t="s">
        <v>115</v>
      </c>
      <c r="D30" s="1" t="s">
        <v>28</v>
      </c>
      <c r="E30" s="9" t="s">
        <v>116</v>
      </c>
      <c r="F30" s="9" t="s">
        <v>117</v>
      </c>
      <c r="G30" t="s">
        <v>111</v>
      </c>
      <c r="H30" t="s">
        <v>32</v>
      </c>
      <c r="I30" s="3" t="b">
        <v>0</v>
      </c>
      <c r="K30" s="3" t="b">
        <v>0</v>
      </c>
      <c r="M30" s="3" t="b">
        <v>0</v>
      </c>
      <c r="O30" s="3" t="b">
        <v>1</v>
      </c>
      <c r="P30" s="2"/>
      <c r="Q30" s="3" t="b">
        <v>1</v>
      </c>
    </row>
    <row r="31" spans="1:18">
      <c r="A31" t="str">
        <f t="shared" si="0"/>
        <v>Complete</v>
      </c>
      <c r="B31">
        <v>13</v>
      </c>
      <c r="C31" t="s">
        <v>118</v>
      </c>
      <c r="D31" s="1" t="s">
        <v>28</v>
      </c>
      <c r="E31" s="25" t="s">
        <v>119</v>
      </c>
      <c r="F31" s="25" t="s">
        <v>120</v>
      </c>
      <c r="G31" t="s">
        <v>111</v>
      </c>
      <c r="H31" t="s">
        <v>32</v>
      </c>
      <c r="I31" s="3" t="b">
        <v>0</v>
      </c>
      <c r="K31" s="3" t="b">
        <v>0</v>
      </c>
      <c r="M31" s="3" t="b">
        <v>0</v>
      </c>
      <c r="O31" s="3" t="b">
        <v>1</v>
      </c>
      <c r="P31" s="2"/>
      <c r="Q31" s="3" t="b">
        <v>1</v>
      </c>
    </row>
    <row r="32" spans="1:18">
      <c r="A32" t="str">
        <f t="shared" si="0"/>
        <v>Complete</v>
      </c>
      <c r="B32">
        <v>18</v>
      </c>
      <c r="C32" t="s">
        <v>121</v>
      </c>
      <c r="D32" s="1" t="s">
        <v>28</v>
      </c>
      <c r="E32" s="24" t="s">
        <v>122</v>
      </c>
      <c r="F32" s="24" t="s">
        <v>123</v>
      </c>
      <c r="G32" t="s">
        <v>111</v>
      </c>
      <c r="H32" s="24" t="s">
        <v>32</v>
      </c>
      <c r="I32" s="3" t="b">
        <v>1</v>
      </c>
      <c r="K32" s="3" t="b">
        <v>0</v>
      </c>
      <c r="M32" s="3" t="b">
        <v>0</v>
      </c>
      <c r="O32" s="3" t="b">
        <v>1</v>
      </c>
      <c r="P32" s="2" t="s">
        <v>67</v>
      </c>
      <c r="Q32" s="3" t="b">
        <v>0</v>
      </c>
    </row>
    <row r="33" spans="1:18">
      <c r="A33" t="str">
        <f t="shared" si="0"/>
        <v>Complete</v>
      </c>
      <c r="B33">
        <v>27</v>
      </c>
      <c r="C33" t="s">
        <v>124</v>
      </c>
      <c r="D33" s="1" t="s">
        <v>28</v>
      </c>
      <c r="E33" s="25" t="s">
        <v>125</v>
      </c>
      <c r="F33" s="25" t="s">
        <v>126</v>
      </c>
      <c r="G33" t="s">
        <v>111</v>
      </c>
      <c r="H33" t="s">
        <v>32</v>
      </c>
      <c r="I33" s="3" t="b">
        <v>1</v>
      </c>
      <c r="K33" s="3" t="b">
        <v>0</v>
      </c>
      <c r="M33" s="3" t="b">
        <v>0</v>
      </c>
      <c r="O33" s="3" t="b">
        <v>1</v>
      </c>
      <c r="P33" s="2" t="s">
        <v>127</v>
      </c>
      <c r="Q33" s="3" t="b">
        <v>0</v>
      </c>
    </row>
    <row r="34" spans="1:18">
      <c r="A34" t="str">
        <f t="shared" si="0"/>
        <v>Complete</v>
      </c>
      <c r="B34">
        <v>29</v>
      </c>
      <c r="C34" t="s">
        <v>128</v>
      </c>
      <c r="D34" s="1" t="s">
        <v>28</v>
      </c>
      <c r="E34" s="10" t="s">
        <v>129</v>
      </c>
      <c r="F34" t="s">
        <v>130</v>
      </c>
      <c r="G34" t="s">
        <v>111</v>
      </c>
      <c r="H34" t="s">
        <v>32</v>
      </c>
      <c r="I34" s="3" t="b">
        <v>1</v>
      </c>
      <c r="K34" s="3" t="b">
        <v>0</v>
      </c>
      <c r="M34" s="3" t="b">
        <v>0</v>
      </c>
      <c r="O34" s="3" t="b">
        <v>1</v>
      </c>
      <c r="P34" s="2"/>
      <c r="Q34" s="3" t="b">
        <v>0</v>
      </c>
    </row>
    <row r="35" spans="1:18">
      <c r="A35" t="str">
        <f t="shared" si="0"/>
        <v>Complete</v>
      </c>
      <c r="B35">
        <v>36</v>
      </c>
      <c r="C35" t="s">
        <v>131</v>
      </c>
      <c r="D35" s="1" t="s">
        <v>28</v>
      </c>
      <c r="E35" s="25" t="s">
        <v>132</v>
      </c>
      <c r="F35" s="25" t="s">
        <v>133</v>
      </c>
      <c r="G35" t="s">
        <v>111</v>
      </c>
      <c r="H35" s="25" t="s">
        <v>32</v>
      </c>
      <c r="I35" s="3" t="b">
        <v>0</v>
      </c>
      <c r="K35" s="3" t="b">
        <v>0</v>
      </c>
      <c r="M35" s="3" t="b">
        <v>0</v>
      </c>
      <c r="O35" s="3" t="b">
        <v>1</v>
      </c>
      <c r="P35" s="2"/>
      <c r="Q35" s="3" t="b">
        <v>1</v>
      </c>
    </row>
    <row r="36" spans="1:18">
      <c r="A36" t="str">
        <f t="shared" si="0"/>
        <v>Complete</v>
      </c>
      <c r="B36">
        <v>37</v>
      </c>
      <c r="C36" t="s">
        <v>134</v>
      </c>
      <c r="D36" s="1" t="s">
        <v>28</v>
      </c>
      <c r="E36" s="24" t="s">
        <v>135</v>
      </c>
      <c r="F36" s="9" t="s">
        <v>136</v>
      </c>
      <c r="G36" t="s">
        <v>111</v>
      </c>
      <c r="H36" t="s">
        <v>32</v>
      </c>
      <c r="I36" s="3" t="b">
        <v>0</v>
      </c>
      <c r="K36" s="3" t="b">
        <v>1</v>
      </c>
      <c r="M36" s="3" t="b">
        <v>0</v>
      </c>
      <c r="O36" s="3" t="b">
        <v>0</v>
      </c>
      <c r="P36" s="2"/>
      <c r="Q36" s="3" t="b">
        <v>1</v>
      </c>
    </row>
    <row r="37" spans="1:18">
      <c r="A37" t="str">
        <f t="shared" si="0"/>
        <v>Complete</v>
      </c>
      <c r="B37">
        <v>39</v>
      </c>
      <c r="C37" t="s">
        <v>137</v>
      </c>
      <c r="D37" s="1" t="s">
        <v>28</v>
      </c>
      <c r="E37" s="10" t="s">
        <v>138</v>
      </c>
      <c r="F37" t="s">
        <v>139</v>
      </c>
      <c r="G37" t="s">
        <v>111</v>
      </c>
      <c r="H37" t="s">
        <v>32</v>
      </c>
      <c r="I37" s="3" t="b">
        <v>0</v>
      </c>
      <c r="K37" s="3" t="b">
        <v>1</v>
      </c>
      <c r="M37" s="3" t="b">
        <v>0</v>
      </c>
      <c r="O37" s="3" t="b">
        <v>0</v>
      </c>
      <c r="P37" s="2"/>
      <c r="Q37" s="3" t="b">
        <v>1</v>
      </c>
    </row>
    <row r="38" spans="1:18">
      <c r="A38" t="str">
        <f t="shared" si="0"/>
        <v>In Progress</v>
      </c>
      <c r="B38">
        <v>40</v>
      </c>
      <c r="C38" t="s">
        <v>140</v>
      </c>
      <c r="D38" s="1" t="s">
        <v>28</v>
      </c>
      <c r="E38" s="9" t="s">
        <v>141</v>
      </c>
      <c r="F38" s="9" t="s">
        <v>142</v>
      </c>
      <c r="G38" t="s">
        <v>111</v>
      </c>
      <c r="H38" t="s">
        <v>32</v>
      </c>
      <c r="I38" s="3" t="b">
        <v>1</v>
      </c>
      <c r="J38" t="s">
        <v>143</v>
      </c>
      <c r="K38" s="3" t="b">
        <v>0</v>
      </c>
      <c r="L38" t="s">
        <v>144</v>
      </c>
      <c r="M38" s="3" t="b">
        <v>0</v>
      </c>
      <c r="O38" s="3" t="b">
        <v>0</v>
      </c>
      <c r="P38" s="2"/>
      <c r="Q38" s="3" t="b">
        <v>0</v>
      </c>
      <c r="R38" t="s">
        <v>145</v>
      </c>
    </row>
    <row r="39" spans="1:18">
      <c r="A39" t="str">
        <f t="shared" si="0"/>
        <v>Complete</v>
      </c>
      <c r="B39">
        <v>16</v>
      </c>
      <c r="C39" t="s">
        <v>146</v>
      </c>
      <c r="D39" s="1" t="s">
        <v>28</v>
      </c>
      <c r="E39" s="24" t="s">
        <v>147</v>
      </c>
      <c r="F39" s="24" t="s">
        <v>148</v>
      </c>
      <c r="G39" t="s">
        <v>111</v>
      </c>
      <c r="H39" t="s">
        <v>149</v>
      </c>
      <c r="I39" s="3" t="b">
        <v>0</v>
      </c>
      <c r="K39" s="3" t="b">
        <v>0</v>
      </c>
      <c r="M39" s="3" t="b">
        <v>0</v>
      </c>
      <c r="O39" s="3" t="b">
        <v>1</v>
      </c>
      <c r="P39" s="2"/>
      <c r="Q39" s="3" t="b">
        <v>1</v>
      </c>
    </row>
    <row r="40" spans="1:18">
      <c r="A40" t="str">
        <f t="shared" si="0"/>
        <v>Complete</v>
      </c>
      <c r="B40">
        <v>22</v>
      </c>
      <c r="C40" t="s">
        <v>150</v>
      </c>
      <c r="D40" s="1" t="s">
        <v>28</v>
      </c>
      <c r="E40" s="9" t="s">
        <v>151</v>
      </c>
      <c r="F40" s="9" t="s">
        <v>152</v>
      </c>
      <c r="G40" t="s">
        <v>111</v>
      </c>
      <c r="H40" t="s">
        <v>149</v>
      </c>
      <c r="I40" s="3" t="b">
        <v>1</v>
      </c>
      <c r="K40" s="3" t="b">
        <v>0</v>
      </c>
      <c r="M40" s="3" t="b">
        <v>0</v>
      </c>
      <c r="O40" s="3" t="b">
        <v>1</v>
      </c>
      <c r="P40" s="2" t="s">
        <v>153</v>
      </c>
      <c r="Q40" s="3" t="b">
        <v>1</v>
      </c>
      <c r="R40" t="s">
        <v>154</v>
      </c>
    </row>
    <row r="41" spans="1:18">
      <c r="A41" t="str">
        <f t="shared" si="0"/>
        <v>Complete</v>
      </c>
      <c r="B41">
        <v>26</v>
      </c>
      <c r="C41" t="s">
        <v>155</v>
      </c>
      <c r="D41" s="1" t="s">
        <v>28</v>
      </c>
      <c r="E41" s="24" t="s">
        <v>156</v>
      </c>
      <c r="F41" s="24" t="s">
        <v>157</v>
      </c>
      <c r="G41" t="s">
        <v>111</v>
      </c>
      <c r="H41" t="s">
        <v>149</v>
      </c>
      <c r="I41" s="3" t="b">
        <v>1</v>
      </c>
      <c r="K41" s="3" t="b">
        <v>0</v>
      </c>
      <c r="M41" s="3" t="b">
        <v>0</v>
      </c>
      <c r="O41" s="3" t="b">
        <v>1</v>
      </c>
      <c r="P41" s="2"/>
      <c r="Q41" s="3" t="b">
        <v>0</v>
      </c>
    </row>
    <row r="42" spans="1:18">
      <c r="A42" t="str">
        <f t="shared" si="0"/>
        <v>Complete</v>
      </c>
      <c r="B42">
        <v>32</v>
      </c>
      <c r="C42" t="s">
        <v>158</v>
      </c>
      <c r="D42" s="1" t="s">
        <v>28</v>
      </c>
      <c r="E42" s="25" t="s">
        <v>159</v>
      </c>
      <c r="F42" s="25" t="s">
        <v>160</v>
      </c>
      <c r="G42" t="s">
        <v>111</v>
      </c>
      <c r="H42" t="s">
        <v>149</v>
      </c>
      <c r="I42" s="3" t="b">
        <v>1</v>
      </c>
      <c r="K42" s="3" t="b">
        <v>0</v>
      </c>
      <c r="M42" s="3" t="b">
        <v>0</v>
      </c>
      <c r="O42" s="3" t="b">
        <v>1</v>
      </c>
      <c r="P42" s="2" t="s">
        <v>161</v>
      </c>
      <c r="Q42" s="3" t="b">
        <v>0</v>
      </c>
    </row>
    <row r="43" spans="1:18">
      <c r="A43" t="str">
        <f t="shared" si="0"/>
        <v>In Progress</v>
      </c>
      <c r="B43">
        <v>33</v>
      </c>
      <c r="C43" t="s">
        <v>162</v>
      </c>
      <c r="D43" s="1" t="s">
        <v>28</v>
      </c>
      <c r="E43" s="33" t="s">
        <v>163</v>
      </c>
      <c r="F43" s="9" t="s">
        <v>164</v>
      </c>
      <c r="G43" t="s">
        <v>111</v>
      </c>
      <c r="H43" t="s">
        <v>149</v>
      </c>
      <c r="I43" s="3" t="b">
        <v>0</v>
      </c>
      <c r="J43" t="s">
        <v>165</v>
      </c>
      <c r="K43" s="3" t="b">
        <v>0</v>
      </c>
      <c r="M43" s="3" t="b">
        <v>0</v>
      </c>
      <c r="O43" s="3" t="b">
        <v>0</v>
      </c>
      <c r="P43" s="2" t="s">
        <v>166</v>
      </c>
      <c r="Q43" s="3" t="b">
        <v>0</v>
      </c>
    </row>
    <row r="44" spans="1:18">
      <c r="A44" t="str">
        <f t="shared" si="0"/>
        <v>Complete</v>
      </c>
      <c r="B44">
        <v>5</v>
      </c>
      <c r="C44" t="s">
        <v>167</v>
      </c>
      <c r="D44" s="1" t="s">
        <v>28</v>
      </c>
      <c r="E44" t="s">
        <v>168</v>
      </c>
      <c r="F44" t="s">
        <v>169</v>
      </c>
      <c r="G44" t="s">
        <v>111</v>
      </c>
      <c r="H44" t="s">
        <v>43</v>
      </c>
      <c r="I44" s="3" t="b">
        <v>0</v>
      </c>
      <c r="K44" s="3" t="b">
        <v>0</v>
      </c>
      <c r="M44" s="3" t="b">
        <v>0</v>
      </c>
      <c r="O44" s="3" t="b">
        <v>1</v>
      </c>
      <c r="P44" s="2" t="s">
        <v>170</v>
      </c>
      <c r="Q44" s="3" t="b">
        <v>1</v>
      </c>
      <c r="R44" t="s">
        <v>171</v>
      </c>
    </row>
    <row r="45" spans="1:18">
      <c r="A45" t="str">
        <f t="shared" si="0"/>
        <v>Complete</v>
      </c>
      <c r="B45">
        <v>6</v>
      </c>
      <c r="C45" t="s">
        <v>172</v>
      </c>
      <c r="D45" s="1" t="s">
        <v>28</v>
      </c>
      <c r="E45" s="25" t="s">
        <v>173</v>
      </c>
      <c r="F45" s="25" t="s">
        <v>174</v>
      </c>
      <c r="G45" t="s">
        <v>111</v>
      </c>
      <c r="H45" t="s">
        <v>43</v>
      </c>
      <c r="I45" s="3" t="b">
        <v>0</v>
      </c>
      <c r="K45" s="3" t="b">
        <v>0</v>
      </c>
      <c r="M45" s="3" t="b">
        <v>1</v>
      </c>
      <c r="O45" s="3" t="b">
        <v>0</v>
      </c>
      <c r="P45" s="2"/>
      <c r="Q45" s="3" t="b">
        <v>1</v>
      </c>
    </row>
    <row r="46" spans="1:18">
      <c r="A46" t="str">
        <f t="shared" ref="A46:A85" si="1">IF(COUNTIF(I46:N46, TRUE) &gt;= 2, "Complete", "In Progress")</f>
        <v>In Progress</v>
      </c>
      <c r="B46">
        <v>41</v>
      </c>
      <c r="C46" t="s">
        <v>175</v>
      </c>
      <c r="D46" s="23" t="s">
        <v>28</v>
      </c>
      <c r="E46" t="s">
        <v>176</v>
      </c>
      <c r="F46" t="s">
        <v>177</v>
      </c>
      <c r="G46" s="20" t="s">
        <v>31</v>
      </c>
      <c r="H46" t="s">
        <v>32</v>
      </c>
      <c r="I46" s="3" t="b">
        <v>1</v>
      </c>
      <c r="K46" s="3" t="b">
        <v>0</v>
      </c>
      <c r="M46" s="3" t="b">
        <v>0</v>
      </c>
      <c r="O46" s="3" t="b">
        <v>1</v>
      </c>
      <c r="P46" s="2"/>
      <c r="Q46" s="3" t="b">
        <v>0</v>
      </c>
      <c r="R46" s="2"/>
    </row>
    <row r="47" spans="1:18">
      <c r="A47" t="str">
        <f t="shared" si="1"/>
        <v>Complete</v>
      </c>
      <c r="B47">
        <v>42</v>
      </c>
      <c r="C47" t="s">
        <v>178</v>
      </c>
      <c r="E47" t="s">
        <v>179</v>
      </c>
      <c r="F47" t="s">
        <v>180</v>
      </c>
      <c r="G47" t="s">
        <v>47</v>
      </c>
      <c r="H47" t="s">
        <v>149</v>
      </c>
      <c r="I47" s="3" t="b">
        <v>1</v>
      </c>
      <c r="K47" s="3" t="b">
        <v>1</v>
      </c>
      <c r="L47" t="s">
        <v>181</v>
      </c>
      <c r="M47" s="3" t="b">
        <v>0</v>
      </c>
      <c r="O47" s="3" t="b">
        <v>0</v>
      </c>
      <c r="P47" s="2"/>
      <c r="Q47" s="3" t="b">
        <v>0</v>
      </c>
      <c r="R47" s="2"/>
    </row>
    <row r="48" spans="1:18">
      <c r="A48" t="str">
        <f t="shared" si="1"/>
        <v>In Progress</v>
      </c>
      <c r="I48" s="3" t="b">
        <v>0</v>
      </c>
      <c r="K48" s="3" t="b">
        <v>0</v>
      </c>
      <c r="M48" s="3" t="b">
        <v>0</v>
      </c>
      <c r="O48" s="3" t="b">
        <v>0</v>
      </c>
      <c r="P48" s="2"/>
      <c r="Q48" s="3" t="b">
        <v>0</v>
      </c>
      <c r="R48" s="2"/>
    </row>
    <row r="49" spans="1:18">
      <c r="A49" t="str">
        <f t="shared" si="1"/>
        <v>In Progress</v>
      </c>
      <c r="I49" s="3" t="b">
        <v>0</v>
      </c>
      <c r="K49" s="3" t="b">
        <v>0</v>
      </c>
      <c r="M49" s="3" t="b">
        <v>0</v>
      </c>
      <c r="O49" s="3" t="b">
        <v>0</v>
      </c>
      <c r="P49" s="2"/>
      <c r="Q49" s="3" t="b">
        <v>0</v>
      </c>
      <c r="R49" s="2"/>
    </row>
    <row r="50" spans="1:18">
      <c r="A50" t="str">
        <f t="shared" si="1"/>
        <v>In Progress</v>
      </c>
      <c r="I50" s="3" t="b">
        <v>0</v>
      </c>
      <c r="K50" s="3" t="b">
        <v>0</v>
      </c>
      <c r="M50" s="3" t="b">
        <v>0</v>
      </c>
      <c r="O50" s="3" t="b">
        <v>0</v>
      </c>
      <c r="P50" s="2"/>
      <c r="Q50" s="3" t="b">
        <v>0</v>
      </c>
      <c r="R50" s="2"/>
    </row>
    <row r="51" spans="1:18">
      <c r="A51" t="str">
        <f t="shared" si="1"/>
        <v>In Progress</v>
      </c>
      <c r="I51" s="3" t="b">
        <v>0</v>
      </c>
      <c r="K51" s="3" t="b">
        <v>0</v>
      </c>
      <c r="M51" s="3" t="b">
        <v>0</v>
      </c>
      <c r="O51" s="3" t="b">
        <v>0</v>
      </c>
      <c r="P51" s="2"/>
      <c r="Q51" s="3" t="b">
        <v>0</v>
      </c>
      <c r="R51" s="2"/>
    </row>
    <row r="52" spans="1:18">
      <c r="A52" t="str">
        <f t="shared" si="1"/>
        <v>In Progress</v>
      </c>
      <c r="I52" s="3" t="b">
        <v>0</v>
      </c>
      <c r="K52" s="3" t="b">
        <v>0</v>
      </c>
      <c r="M52" s="3" t="b">
        <v>0</v>
      </c>
      <c r="O52" s="3" t="b">
        <v>0</v>
      </c>
      <c r="P52" s="2"/>
      <c r="Q52" s="3" t="b">
        <v>0</v>
      </c>
      <c r="R52" s="2"/>
    </row>
    <row r="53" spans="1:18">
      <c r="A53" t="str">
        <f t="shared" si="1"/>
        <v>In Progress</v>
      </c>
      <c r="I53" s="3" t="b">
        <v>0</v>
      </c>
      <c r="K53" s="3" t="b">
        <v>0</v>
      </c>
      <c r="M53" s="3" t="b">
        <v>0</v>
      </c>
      <c r="O53" s="3" t="b">
        <v>0</v>
      </c>
      <c r="P53" s="2"/>
      <c r="Q53" s="3" t="b">
        <v>0</v>
      </c>
      <c r="R53" s="2"/>
    </row>
    <row r="54" spans="1:18">
      <c r="A54" t="str">
        <f t="shared" si="1"/>
        <v>In Progress</v>
      </c>
      <c r="I54" s="3" t="b">
        <v>0</v>
      </c>
      <c r="K54" s="3" t="b">
        <v>0</v>
      </c>
      <c r="M54" s="3" t="b">
        <v>0</v>
      </c>
      <c r="O54" s="3" t="b">
        <v>0</v>
      </c>
      <c r="P54" s="2"/>
      <c r="Q54" s="3" t="b">
        <v>0</v>
      </c>
      <c r="R54" s="2"/>
    </row>
    <row r="55" spans="1:18">
      <c r="A55" t="str">
        <f t="shared" si="1"/>
        <v>In Progress</v>
      </c>
      <c r="I55" s="3" t="b">
        <v>0</v>
      </c>
      <c r="K55" s="3" t="b">
        <v>0</v>
      </c>
      <c r="M55" s="3" t="b">
        <v>0</v>
      </c>
      <c r="O55" s="3" t="b">
        <v>0</v>
      </c>
      <c r="P55" s="2"/>
      <c r="Q55" s="3" t="b">
        <v>0</v>
      </c>
      <c r="R55" s="2"/>
    </row>
    <row r="56" spans="1:18">
      <c r="A56" t="str">
        <f t="shared" si="1"/>
        <v>In Progress</v>
      </c>
      <c r="I56" s="3" t="b">
        <v>0</v>
      </c>
      <c r="K56" s="3" t="b">
        <v>0</v>
      </c>
      <c r="M56" s="3" t="b">
        <v>0</v>
      </c>
      <c r="O56" s="3" t="b">
        <v>0</v>
      </c>
      <c r="P56" s="2"/>
      <c r="Q56" s="3" t="b">
        <v>0</v>
      </c>
      <c r="R56" s="2"/>
    </row>
    <row r="57" spans="1:18">
      <c r="A57" t="str">
        <f t="shared" si="1"/>
        <v>In Progress</v>
      </c>
      <c r="I57" s="3" t="b">
        <v>0</v>
      </c>
      <c r="K57" s="3" t="b">
        <v>0</v>
      </c>
      <c r="M57" s="3" t="b">
        <v>0</v>
      </c>
      <c r="O57" s="3" t="b">
        <v>0</v>
      </c>
      <c r="P57" s="2"/>
      <c r="Q57" s="3" t="b">
        <v>0</v>
      </c>
      <c r="R57" s="2"/>
    </row>
    <row r="58" spans="1:18">
      <c r="A58" t="str">
        <f t="shared" si="1"/>
        <v>In Progress</v>
      </c>
      <c r="I58" s="3" t="b">
        <v>0</v>
      </c>
      <c r="K58" s="3" t="b">
        <v>0</v>
      </c>
      <c r="M58" s="3" t="b">
        <v>0</v>
      </c>
      <c r="O58" s="3" t="b">
        <v>0</v>
      </c>
      <c r="P58" s="2"/>
      <c r="Q58" s="3" t="b">
        <v>0</v>
      </c>
      <c r="R58" s="2"/>
    </row>
    <row r="59" spans="1:18">
      <c r="A59" t="str">
        <f t="shared" si="1"/>
        <v>In Progress</v>
      </c>
      <c r="I59" s="3" t="b">
        <v>0</v>
      </c>
      <c r="K59" s="3" t="b">
        <v>0</v>
      </c>
      <c r="M59" s="3" t="b">
        <v>0</v>
      </c>
      <c r="O59" s="3" t="b">
        <v>0</v>
      </c>
      <c r="P59" s="2"/>
      <c r="Q59" s="3" t="b">
        <v>0</v>
      </c>
      <c r="R59" s="2"/>
    </row>
    <row r="60" spans="1:18">
      <c r="A60" t="str">
        <f t="shared" si="1"/>
        <v>In Progress</v>
      </c>
      <c r="I60" s="3" t="b">
        <v>0</v>
      </c>
      <c r="K60" s="3" t="b">
        <v>0</v>
      </c>
      <c r="M60" s="3" t="b">
        <v>0</v>
      </c>
      <c r="O60" s="3" t="b">
        <v>0</v>
      </c>
      <c r="P60" s="2"/>
      <c r="Q60" s="3" t="b">
        <v>0</v>
      </c>
      <c r="R60" s="2"/>
    </row>
    <row r="61" spans="1:18">
      <c r="A61" t="str">
        <f t="shared" si="1"/>
        <v>In Progress</v>
      </c>
      <c r="I61" s="3" t="b">
        <v>0</v>
      </c>
      <c r="K61" s="3" t="b">
        <v>0</v>
      </c>
      <c r="M61" s="3" t="b">
        <v>0</v>
      </c>
      <c r="O61" s="3" t="b">
        <v>0</v>
      </c>
      <c r="P61" s="2"/>
      <c r="Q61" s="3" t="b">
        <v>0</v>
      </c>
      <c r="R61" s="2"/>
    </row>
    <row r="62" spans="1:18">
      <c r="A62" t="str">
        <f t="shared" si="1"/>
        <v>In Progress</v>
      </c>
      <c r="I62" s="3" t="b">
        <v>0</v>
      </c>
      <c r="K62" s="3" t="b">
        <v>0</v>
      </c>
      <c r="M62" s="3" t="b">
        <v>0</v>
      </c>
      <c r="O62" s="3" t="b">
        <v>0</v>
      </c>
      <c r="P62" s="2"/>
      <c r="Q62" s="3" t="b">
        <v>0</v>
      </c>
      <c r="R62" s="2"/>
    </row>
    <row r="63" spans="1:18">
      <c r="A63" t="str">
        <f t="shared" si="1"/>
        <v>In Progress</v>
      </c>
      <c r="I63" s="3" t="b">
        <v>0</v>
      </c>
      <c r="K63" s="3" t="b">
        <v>0</v>
      </c>
      <c r="M63" s="3" t="b">
        <v>0</v>
      </c>
      <c r="O63" s="3" t="b">
        <v>0</v>
      </c>
      <c r="P63" s="2"/>
      <c r="Q63" s="3" t="b">
        <v>0</v>
      </c>
      <c r="R63" s="2"/>
    </row>
    <row r="64" spans="1:18">
      <c r="A64" t="str">
        <f t="shared" si="1"/>
        <v>In Progress</v>
      </c>
      <c r="I64" s="3" t="b">
        <v>0</v>
      </c>
      <c r="K64" s="3" t="b">
        <v>0</v>
      </c>
      <c r="M64" s="3" t="b">
        <v>0</v>
      </c>
      <c r="O64" s="3" t="b">
        <v>0</v>
      </c>
      <c r="P64" s="2"/>
      <c r="Q64" s="3" t="b">
        <v>0</v>
      </c>
      <c r="R64" s="2"/>
    </row>
    <row r="65" spans="1:18">
      <c r="A65" t="str">
        <f t="shared" si="1"/>
        <v>In Progress</v>
      </c>
      <c r="I65" s="3" t="b">
        <v>0</v>
      </c>
      <c r="K65" s="3" t="b">
        <v>0</v>
      </c>
      <c r="M65" s="3" t="b">
        <v>0</v>
      </c>
      <c r="O65" s="3" t="b">
        <v>0</v>
      </c>
      <c r="P65" s="2"/>
      <c r="Q65" s="3" t="b">
        <v>0</v>
      </c>
      <c r="R65" s="2"/>
    </row>
    <row r="66" spans="1:18">
      <c r="A66" t="str">
        <f t="shared" si="1"/>
        <v>In Progress</v>
      </c>
      <c r="I66" s="3" t="b">
        <v>0</v>
      </c>
      <c r="K66" s="3" t="b">
        <v>0</v>
      </c>
      <c r="M66" s="3" t="b">
        <v>0</v>
      </c>
      <c r="O66" s="3" t="b">
        <v>0</v>
      </c>
      <c r="P66" s="2"/>
      <c r="Q66" s="3" t="b">
        <v>0</v>
      </c>
      <c r="R66" s="2"/>
    </row>
    <row r="67" spans="1:18">
      <c r="A67" t="str">
        <f t="shared" si="1"/>
        <v>In Progress</v>
      </c>
      <c r="I67" s="3" t="b">
        <v>0</v>
      </c>
      <c r="K67" s="3" t="b">
        <v>0</v>
      </c>
      <c r="M67" s="3" t="b">
        <v>0</v>
      </c>
      <c r="O67" s="3" t="b">
        <v>0</v>
      </c>
      <c r="P67" s="2"/>
      <c r="Q67" s="3" t="b">
        <v>0</v>
      </c>
      <c r="R67" s="2"/>
    </row>
    <row r="68" spans="1:18">
      <c r="A68" t="str">
        <f t="shared" si="1"/>
        <v>In Progress</v>
      </c>
      <c r="I68" s="3" t="b">
        <v>0</v>
      </c>
      <c r="K68" s="3" t="b">
        <v>0</v>
      </c>
      <c r="M68" s="3" t="b">
        <v>0</v>
      </c>
      <c r="O68" s="3" t="b">
        <v>0</v>
      </c>
      <c r="P68" s="2"/>
      <c r="Q68" s="3" t="b">
        <v>0</v>
      </c>
      <c r="R68" s="2"/>
    </row>
    <row r="69" spans="1:18">
      <c r="A69" t="str">
        <f t="shared" si="1"/>
        <v>In Progress</v>
      </c>
      <c r="I69" s="3" t="b">
        <v>0</v>
      </c>
      <c r="K69" s="3" t="b">
        <v>0</v>
      </c>
      <c r="M69" s="3" t="b">
        <v>0</v>
      </c>
      <c r="O69" s="3" t="b">
        <v>0</v>
      </c>
      <c r="P69" s="2"/>
      <c r="Q69" s="3" t="b">
        <v>0</v>
      </c>
      <c r="R69" s="2"/>
    </row>
    <row r="70" spans="1:18">
      <c r="A70" t="str">
        <f t="shared" si="1"/>
        <v>In Progress</v>
      </c>
      <c r="I70" s="3" t="b">
        <v>0</v>
      </c>
      <c r="K70" s="3" t="b">
        <v>0</v>
      </c>
      <c r="M70" s="3" t="b">
        <v>0</v>
      </c>
      <c r="O70" s="3" t="b">
        <v>0</v>
      </c>
      <c r="P70" s="2"/>
      <c r="Q70" s="3" t="b">
        <v>0</v>
      </c>
      <c r="R70" s="2"/>
    </row>
    <row r="71" spans="1:18">
      <c r="A71" t="str">
        <f t="shared" si="1"/>
        <v>In Progress</v>
      </c>
      <c r="I71" s="3" t="b">
        <v>0</v>
      </c>
      <c r="K71" s="3" t="b">
        <v>0</v>
      </c>
      <c r="M71" s="3" t="b">
        <v>0</v>
      </c>
      <c r="O71" s="3" t="b">
        <v>0</v>
      </c>
      <c r="P71" s="2"/>
      <c r="Q71" s="3" t="b">
        <v>0</v>
      </c>
      <c r="R71" s="2"/>
    </row>
    <row r="72" spans="1:18">
      <c r="A72" t="str">
        <f t="shared" si="1"/>
        <v>In Progress</v>
      </c>
      <c r="I72" s="3" t="b">
        <v>0</v>
      </c>
      <c r="K72" s="3" t="b">
        <v>0</v>
      </c>
      <c r="M72" s="3" t="b">
        <v>0</v>
      </c>
      <c r="O72" s="3" t="b">
        <v>0</v>
      </c>
      <c r="P72" s="2"/>
      <c r="Q72" s="3" t="b">
        <v>0</v>
      </c>
      <c r="R72" s="2"/>
    </row>
    <row r="73" spans="1:18">
      <c r="A73" t="str">
        <f t="shared" si="1"/>
        <v>In Progress</v>
      </c>
      <c r="I73" s="3" t="b">
        <v>0</v>
      </c>
      <c r="K73" s="3" t="b">
        <v>0</v>
      </c>
      <c r="M73" s="3" t="b">
        <v>0</v>
      </c>
      <c r="O73" s="3" t="b">
        <v>0</v>
      </c>
      <c r="P73" s="2"/>
      <c r="Q73" s="3" t="b">
        <v>0</v>
      </c>
      <c r="R73" s="2"/>
    </row>
    <row r="74" spans="1:18">
      <c r="A74" t="str">
        <f t="shared" si="1"/>
        <v>In Progress</v>
      </c>
      <c r="I74" s="3" t="b">
        <v>0</v>
      </c>
      <c r="K74" s="3" t="b">
        <v>0</v>
      </c>
      <c r="M74" s="3" t="b">
        <v>0</v>
      </c>
      <c r="O74" s="3" t="b">
        <v>0</v>
      </c>
      <c r="P74" s="2"/>
      <c r="Q74" s="3" t="b">
        <v>0</v>
      </c>
      <c r="R74" s="2"/>
    </row>
    <row r="75" spans="1:18">
      <c r="A75" t="str">
        <f t="shared" si="1"/>
        <v>In Progress</v>
      </c>
      <c r="I75" s="3" t="b">
        <v>0</v>
      </c>
      <c r="K75" s="3" t="b">
        <v>0</v>
      </c>
      <c r="M75" s="3" t="b">
        <v>0</v>
      </c>
      <c r="O75" s="3" t="b">
        <v>0</v>
      </c>
      <c r="P75" s="2"/>
      <c r="Q75" s="3" t="b">
        <v>0</v>
      </c>
      <c r="R75" s="2"/>
    </row>
    <row r="76" spans="1:18">
      <c r="A76" t="str">
        <f t="shared" si="1"/>
        <v>In Progress</v>
      </c>
      <c r="I76" s="3" t="b">
        <v>0</v>
      </c>
      <c r="K76" s="3" t="b">
        <v>0</v>
      </c>
      <c r="M76" s="3" t="b">
        <v>0</v>
      </c>
      <c r="O76" s="3" t="b">
        <v>0</v>
      </c>
      <c r="P76" s="2"/>
      <c r="Q76" s="3" t="b">
        <v>0</v>
      </c>
      <c r="R76" s="2"/>
    </row>
    <row r="77" spans="1:18">
      <c r="A77" t="str">
        <f t="shared" si="1"/>
        <v>In Progress</v>
      </c>
      <c r="I77" s="3" t="b">
        <v>0</v>
      </c>
      <c r="K77" s="3" t="b">
        <v>0</v>
      </c>
      <c r="M77" s="3" t="b">
        <v>0</v>
      </c>
      <c r="O77" s="3" t="b">
        <v>0</v>
      </c>
      <c r="P77" s="2"/>
      <c r="Q77" s="3" t="b">
        <v>0</v>
      </c>
      <c r="R77" s="2"/>
    </row>
    <row r="78" spans="1:18">
      <c r="A78" t="str">
        <f t="shared" si="1"/>
        <v>In Progress</v>
      </c>
      <c r="I78" s="3" t="b">
        <v>0</v>
      </c>
      <c r="K78" s="3" t="b">
        <v>0</v>
      </c>
      <c r="M78" s="3" t="b">
        <v>0</v>
      </c>
      <c r="O78" s="3" t="b">
        <v>0</v>
      </c>
      <c r="P78" s="2"/>
      <c r="Q78" s="3" t="b">
        <v>0</v>
      </c>
      <c r="R78" s="2"/>
    </row>
    <row r="79" spans="1:18">
      <c r="A79" t="str">
        <f t="shared" si="1"/>
        <v>In Progress</v>
      </c>
      <c r="I79" s="3" t="b">
        <v>0</v>
      </c>
      <c r="K79" s="3" t="b">
        <v>0</v>
      </c>
      <c r="M79" s="3" t="b">
        <v>0</v>
      </c>
      <c r="O79" s="3" t="b">
        <v>0</v>
      </c>
      <c r="P79" s="2"/>
      <c r="Q79" s="3" t="b">
        <v>0</v>
      </c>
      <c r="R79" s="2"/>
    </row>
    <row r="80" spans="1:18">
      <c r="A80" t="str">
        <f t="shared" si="1"/>
        <v>In Progress</v>
      </c>
      <c r="I80" s="3" t="b">
        <v>0</v>
      </c>
      <c r="K80" s="3" t="b">
        <v>0</v>
      </c>
      <c r="M80" s="3" t="b">
        <v>0</v>
      </c>
      <c r="O80" s="3" t="b">
        <v>0</v>
      </c>
      <c r="P80" s="2"/>
      <c r="Q80" s="3" t="b">
        <v>0</v>
      </c>
      <c r="R80" s="2"/>
    </row>
    <row r="81" spans="1:18">
      <c r="A81" t="str">
        <f t="shared" si="1"/>
        <v>In Progress</v>
      </c>
      <c r="I81" s="3" t="b">
        <v>0</v>
      </c>
      <c r="K81" s="3" t="b">
        <v>0</v>
      </c>
      <c r="M81" s="3" t="b">
        <v>0</v>
      </c>
      <c r="O81" s="3" t="b">
        <v>0</v>
      </c>
      <c r="P81" s="2"/>
      <c r="Q81" s="3" t="b">
        <v>0</v>
      </c>
      <c r="R81" s="2"/>
    </row>
    <row r="82" spans="1:18">
      <c r="A82" t="str">
        <f t="shared" si="1"/>
        <v>In Progress</v>
      </c>
      <c r="I82" s="3" t="b">
        <v>0</v>
      </c>
      <c r="K82" s="3" t="b">
        <v>0</v>
      </c>
      <c r="M82" s="3" t="b">
        <v>0</v>
      </c>
      <c r="O82" s="3" t="b">
        <v>0</v>
      </c>
      <c r="P82" s="2"/>
      <c r="Q82" s="3" t="b">
        <v>0</v>
      </c>
      <c r="R82" s="2"/>
    </row>
    <row r="83" spans="1:18">
      <c r="A83" t="str">
        <f t="shared" si="1"/>
        <v>In Progress</v>
      </c>
      <c r="I83" s="3" t="b">
        <v>0</v>
      </c>
      <c r="K83" s="3" t="b">
        <v>0</v>
      </c>
      <c r="M83" s="3" t="b">
        <v>0</v>
      </c>
      <c r="O83" s="3" t="b">
        <v>0</v>
      </c>
      <c r="P83" s="2"/>
      <c r="Q83" s="3" t="b">
        <v>0</v>
      </c>
      <c r="R83" s="2"/>
    </row>
    <row r="84" spans="1:18">
      <c r="A84" t="str">
        <f t="shared" si="1"/>
        <v>In Progress</v>
      </c>
      <c r="I84" s="3" t="b">
        <v>0</v>
      </c>
      <c r="K84" s="3" t="b">
        <v>0</v>
      </c>
      <c r="M84" s="3" t="b">
        <v>0</v>
      </c>
      <c r="O84" s="3" t="b">
        <v>0</v>
      </c>
      <c r="P84" s="2"/>
      <c r="Q84" s="3" t="b">
        <v>0</v>
      </c>
      <c r="R84" s="2"/>
    </row>
    <row r="85" spans="1:18">
      <c r="A85" t="str">
        <f t="shared" si="1"/>
        <v>In Progress</v>
      </c>
      <c r="I85" s="4" t="b">
        <v>0</v>
      </c>
      <c r="J85" s="6"/>
      <c r="K85" s="4" t="b">
        <v>0</v>
      </c>
      <c r="L85" s="6"/>
      <c r="M85" s="4" t="b">
        <v>0</v>
      </c>
      <c r="N85" s="6"/>
      <c r="O85" s="4" t="b">
        <v>0</v>
      </c>
      <c r="P85" s="5"/>
      <c r="Q85" s="4" t="b">
        <v>0</v>
      </c>
      <c r="R85" s="5"/>
    </row>
    <row r="86" spans="1:18">
      <c r="A86" t="str">
        <f>IF(COUNTIF(H86:N86, TRUE) &gt;= 2, "Complete", "In Progress")</f>
        <v>In Progress</v>
      </c>
    </row>
  </sheetData>
  <sortState xmlns:xlrd2="http://schemas.microsoft.com/office/spreadsheetml/2017/richdata2" ref="A46:I86">
    <sortCondition ref="G46:G86"/>
  </sortState>
  <mergeCells count="5">
    <mergeCell ref="Q4:R4"/>
    <mergeCell ref="O4:P4"/>
    <mergeCell ref="I4:J4"/>
    <mergeCell ref="K4:L4"/>
    <mergeCell ref="M4:N4"/>
  </mergeCells>
  <conditionalFormatting sqref="A6:A86">
    <cfRule type="expression" dxfId="9" priority="1">
      <formula>A6="Complete"</formula>
    </cfRule>
  </conditionalFormatting>
  <conditionalFormatting sqref="I6">
    <cfRule type="iconSet" priority="2">
      <iconSet iconSet="3Symbols2">
        <cfvo type="percent" val="0"/>
        <cfvo type="percent" val="33"/>
        <cfvo type="percent" val="67"/>
      </iconSet>
    </cfRule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6:I85">
    <cfRule type="iconSet" priority="4">
      <iconSet iconSet="3Symbols2">
        <cfvo type="percent" val="0"/>
        <cfvo type="percent" val="33"/>
        <cfvo type="percent" val="67"/>
      </iconSet>
    </cfRule>
  </conditionalFormatting>
  <hyperlinks>
    <hyperlink ref="D10" r:id="rId1" xr:uid="{6675CD46-2852-4FF9-95C5-0CD14C43CBA2}"/>
    <hyperlink ref="D7:D13" r:id="rId2" display="Abstract" xr:uid="{2EFEED2E-A1AE-4823-829D-AE03DECCCD14}"/>
    <hyperlink ref="D14:D31" r:id="rId3" display="Abstract" xr:uid="{706A2C0F-1886-47EE-BAE1-72CF33CB31F3}"/>
    <hyperlink ref="D32:D35" r:id="rId4" display="Abstract" xr:uid="{5138C4AA-3267-4B1A-BDAB-9FB3C13923BC}"/>
    <hyperlink ref="D36:D45" r:id="rId5" display="Abstract" xr:uid="{E47DA5E6-E956-4F61-8130-2AAF712C5EB1}"/>
    <hyperlink ref="D46" r:id="rId6" xr:uid="{0A588B8E-0F1A-45F6-B294-FEE990ADAB96}"/>
  </hyperlinks>
  <pageMargins left="0.7" right="0.7" top="0.75" bottom="0.75" header="0.3" footer="0.3"/>
  <legacy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8273-D67B-4633-BAA8-AE7D7AFD90DC}">
  <dimension ref="A1:K46"/>
  <sheetViews>
    <sheetView workbookViewId="0">
      <selection activeCell="I2" sqref="I2:L2"/>
    </sheetView>
  </sheetViews>
  <sheetFormatPr defaultRowHeight="15"/>
  <cols>
    <col min="2" max="2" width="22.7109375" bestFit="1" customWidth="1"/>
    <col min="3" max="3" width="15.28515625" bestFit="1" customWidth="1"/>
    <col min="4" max="4" width="23.5703125" bestFit="1" customWidth="1"/>
  </cols>
  <sheetData>
    <row r="1" spans="1:11">
      <c r="A1" s="11"/>
    </row>
    <row r="2" spans="1:11">
      <c r="B2" s="11" t="s">
        <v>182</v>
      </c>
      <c r="I2" s="11"/>
      <c r="J2" s="11"/>
      <c r="K2" s="11"/>
    </row>
    <row r="3" spans="1:11">
      <c r="B3" t="s">
        <v>49</v>
      </c>
      <c r="C3" s="1" t="s">
        <v>28</v>
      </c>
      <c r="D3" t="s">
        <v>50</v>
      </c>
    </row>
    <row r="4" spans="1:11">
      <c r="B4" t="s">
        <v>44</v>
      </c>
      <c r="C4" s="1" t="s">
        <v>28</v>
      </c>
      <c r="D4" t="s">
        <v>45</v>
      </c>
    </row>
    <row r="5" spans="1:11">
      <c r="B5" t="s">
        <v>94</v>
      </c>
      <c r="C5" s="1" t="s">
        <v>28</v>
      </c>
      <c r="D5" t="s">
        <v>95</v>
      </c>
    </row>
    <row r="6" spans="1:11">
      <c r="B6" t="s">
        <v>72</v>
      </c>
      <c r="C6" s="1" t="s">
        <v>28</v>
      </c>
      <c r="D6" s="24" t="s">
        <v>73</v>
      </c>
    </row>
    <row r="7" spans="1:11">
      <c r="B7" t="s">
        <v>97</v>
      </c>
      <c r="C7" s="1" t="s">
        <v>28</v>
      </c>
      <c r="D7" s="9" t="s">
        <v>98</v>
      </c>
    </row>
    <row r="8" spans="1:11">
      <c r="B8" t="s">
        <v>88</v>
      </c>
      <c r="C8" s="1" t="s">
        <v>28</v>
      </c>
      <c r="D8" t="s">
        <v>89</v>
      </c>
    </row>
    <row r="9" spans="1:11">
      <c r="B9" t="s">
        <v>104</v>
      </c>
      <c r="C9" s="1" t="s">
        <v>28</v>
      </c>
      <c r="D9" s="25" t="s">
        <v>105</v>
      </c>
    </row>
    <row r="10" spans="1:11">
      <c r="B10" t="s">
        <v>68</v>
      </c>
      <c r="C10" s="1" t="s">
        <v>28</v>
      </c>
      <c r="D10" s="25" t="s">
        <v>69</v>
      </c>
    </row>
    <row r="11" spans="1:11">
      <c r="B11" t="s">
        <v>61</v>
      </c>
      <c r="C11" s="1" t="s">
        <v>28</v>
      </c>
      <c r="D11" t="s">
        <v>62</v>
      </c>
    </row>
    <row r="12" spans="1:11">
      <c r="B12" t="s">
        <v>58</v>
      </c>
      <c r="C12" s="1" t="s">
        <v>28</v>
      </c>
      <c r="D12" s="26" t="s">
        <v>59</v>
      </c>
    </row>
    <row r="13" spans="1:11">
      <c r="B13" t="s">
        <v>91</v>
      </c>
      <c r="C13" s="1" t="s">
        <v>28</v>
      </c>
      <c r="D13" s="25" t="s">
        <v>92</v>
      </c>
    </row>
    <row r="14" spans="1:11">
      <c r="B14" t="s">
        <v>178</v>
      </c>
      <c r="D14" t="s">
        <v>179</v>
      </c>
    </row>
    <row r="15" spans="1:11">
      <c r="B15" t="s">
        <v>52</v>
      </c>
      <c r="C15" s="1" t="s">
        <v>28</v>
      </c>
      <c r="D15" t="s">
        <v>53</v>
      </c>
    </row>
    <row r="16" spans="1:11">
      <c r="B16" t="s">
        <v>79</v>
      </c>
      <c r="C16" s="1" t="s">
        <v>28</v>
      </c>
      <c r="D16" s="24" t="s">
        <v>80</v>
      </c>
    </row>
    <row r="17" spans="2:4">
      <c r="B17" t="s">
        <v>55</v>
      </c>
      <c r="C17" s="1" t="s">
        <v>28</v>
      </c>
      <c r="D17" t="s">
        <v>56</v>
      </c>
    </row>
    <row r="18" spans="2:4">
      <c r="B18" t="s">
        <v>83</v>
      </c>
      <c r="C18" s="1" t="s">
        <v>28</v>
      </c>
      <c r="D18" s="25" t="s">
        <v>84</v>
      </c>
    </row>
    <row r="19" spans="2:4">
      <c r="B19" t="s">
        <v>76</v>
      </c>
      <c r="C19" s="1" t="s">
        <v>28</v>
      </c>
      <c r="D19" s="9" t="s">
        <v>77</v>
      </c>
    </row>
    <row r="20" spans="2:4">
      <c r="B20" t="s">
        <v>64</v>
      </c>
      <c r="C20" s="1" t="s">
        <v>28</v>
      </c>
      <c r="D20" t="s">
        <v>65</v>
      </c>
    </row>
    <row r="21" spans="2:4">
      <c r="B21" t="s">
        <v>101</v>
      </c>
      <c r="C21" s="1" t="s">
        <v>28</v>
      </c>
      <c r="D21" s="24" t="s">
        <v>102</v>
      </c>
    </row>
    <row r="22" spans="2:4">
      <c r="B22" s="11" t="s">
        <v>183</v>
      </c>
    </row>
    <row r="23" spans="2:4">
      <c r="B23" t="s">
        <v>128</v>
      </c>
      <c r="C23" s="1" t="s">
        <v>28</v>
      </c>
      <c r="D23" s="10" t="s">
        <v>129</v>
      </c>
    </row>
    <row r="24" spans="2:4">
      <c r="B24" t="s">
        <v>137</v>
      </c>
      <c r="C24" s="1" t="s">
        <v>28</v>
      </c>
      <c r="D24" s="10" t="s">
        <v>138</v>
      </c>
    </row>
    <row r="25" spans="2:4">
      <c r="B25" t="s">
        <v>172</v>
      </c>
      <c r="C25" s="1" t="s">
        <v>28</v>
      </c>
      <c r="D25" s="25" t="s">
        <v>173</v>
      </c>
    </row>
    <row r="26" spans="2:4">
      <c r="B26" t="s">
        <v>108</v>
      </c>
      <c r="C26" s="1" t="s">
        <v>28</v>
      </c>
      <c r="D26" s="27" t="s">
        <v>109</v>
      </c>
    </row>
    <row r="27" spans="2:4">
      <c r="B27" t="s">
        <v>140</v>
      </c>
      <c r="C27" s="1" t="s">
        <v>28</v>
      </c>
      <c r="D27" s="9" t="s">
        <v>141</v>
      </c>
    </row>
    <row r="28" spans="2:4">
      <c r="B28" t="s">
        <v>118</v>
      </c>
      <c r="C28" s="1" t="s">
        <v>28</v>
      </c>
      <c r="D28" s="25" t="s">
        <v>119</v>
      </c>
    </row>
    <row r="29" spans="2:4">
      <c r="B29" t="s">
        <v>115</v>
      </c>
      <c r="C29" s="1" t="s">
        <v>28</v>
      </c>
      <c r="D29" s="9" t="s">
        <v>116</v>
      </c>
    </row>
    <row r="30" spans="2:4">
      <c r="B30" t="s">
        <v>162</v>
      </c>
      <c r="C30" s="1" t="s">
        <v>28</v>
      </c>
      <c r="D30" s="33" t="s">
        <v>163</v>
      </c>
    </row>
    <row r="31" spans="2:4">
      <c r="B31" t="s">
        <v>112</v>
      </c>
      <c r="C31" s="1" t="s">
        <v>28</v>
      </c>
      <c r="D31" t="s">
        <v>113</v>
      </c>
    </row>
    <row r="32" spans="2:4">
      <c r="B32" t="s">
        <v>121</v>
      </c>
      <c r="C32" s="1" t="s">
        <v>28</v>
      </c>
      <c r="D32" s="24" t="s">
        <v>122</v>
      </c>
    </row>
    <row r="33" spans="2:4">
      <c r="B33" t="s">
        <v>124</v>
      </c>
      <c r="C33" s="1" t="s">
        <v>28</v>
      </c>
      <c r="D33" s="25" t="s">
        <v>125</v>
      </c>
    </row>
    <row r="34" spans="2:4">
      <c r="B34" t="s">
        <v>155</v>
      </c>
      <c r="C34" s="1" t="s">
        <v>28</v>
      </c>
      <c r="D34" s="24" t="s">
        <v>156</v>
      </c>
    </row>
    <row r="35" spans="2:4">
      <c r="B35" t="s">
        <v>146</v>
      </c>
      <c r="C35" s="1" t="s">
        <v>28</v>
      </c>
      <c r="D35" s="24" t="s">
        <v>147</v>
      </c>
    </row>
    <row r="36" spans="2:4">
      <c r="B36" t="s">
        <v>131</v>
      </c>
      <c r="C36" s="1" t="s">
        <v>28</v>
      </c>
      <c r="D36" s="25" t="s">
        <v>132</v>
      </c>
    </row>
    <row r="37" spans="2:4">
      <c r="B37" t="s">
        <v>158</v>
      </c>
      <c r="C37" s="1" t="s">
        <v>28</v>
      </c>
      <c r="D37" s="25" t="s">
        <v>159</v>
      </c>
    </row>
    <row r="38" spans="2:4">
      <c r="B38" t="s">
        <v>150</v>
      </c>
      <c r="C38" s="1" t="s">
        <v>28</v>
      </c>
      <c r="D38" s="9" t="s">
        <v>151</v>
      </c>
    </row>
    <row r="39" spans="2:4">
      <c r="B39" t="s">
        <v>134</v>
      </c>
      <c r="C39" s="1" t="s">
        <v>28</v>
      </c>
      <c r="D39" s="24" t="s">
        <v>135</v>
      </c>
    </row>
    <row r="40" spans="2:4">
      <c r="B40" t="s">
        <v>167</v>
      </c>
      <c r="C40" s="1" t="s">
        <v>28</v>
      </c>
      <c r="D40" t="s">
        <v>168</v>
      </c>
    </row>
    <row r="41" spans="2:4">
      <c r="B41" s="11" t="s">
        <v>184</v>
      </c>
    </row>
    <row r="42" spans="2:4">
      <c r="B42" t="s">
        <v>37</v>
      </c>
      <c r="C42" s="1" t="s">
        <v>28</v>
      </c>
      <c r="D42" s="24" t="s">
        <v>38</v>
      </c>
    </row>
    <row r="43" spans="2:4">
      <c r="B43" t="s">
        <v>175</v>
      </c>
      <c r="C43" s="23" t="s">
        <v>28</v>
      </c>
      <c r="D43" t="s">
        <v>176</v>
      </c>
    </row>
    <row r="44" spans="2:4">
      <c r="B44" t="s">
        <v>33</v>
      </c>
      <c r="C44" s="1" t="s">
        <v>28</v>
      </c>
      <c r="D44" s="28" t="s">
        <v>34</v>
      </c>
    </row>
    <row r="45" spans="2:4">
      <c r="B45" t="s">
        <v>40</v>
      </c>
      <c r="C45" s="1" t="s">
        <v>28</v>
      </c>
      <c r="D45" s="8" t="s">
        <v>41</v>
      </c>
    </row>
    <row r="46" spans="2:4">
      <c r="B46" t="s">
        <v>27</v>
      </c>
      <c r="C46" s="1" t="s">
        <v>28</v>
      </c>
      <c r="D46" t="s">
        <v>29</v>
      </c>
    </row>
  </sheetData>
  <hyperlinks>
    <hyperlink ref="C4" r:id="rId1" xr:uid="{33519A4C-4D12-4B17-B896-0EEB3B934616}"/>
    <hyperlink ref="J4:J10" r:id="rId2" display="Abstract" xr:uid="{629EE63D-C492-43A1-9C58-18E59819D44B}"/>
    <hyperlink ref="J11:J28" r:id="rId3" display="Abstract" xr:uid="{5938B88F-234F-4BA9-AEFE-300B9D01BCC9}"/>
    <hyperlink ref="J29:J32" r:id="rId4" display="Abstract" xr:uid="{5C3907EC-6674-430C-A345-A23B27FEED13}"/>
    <hyperlink ref="J33:J42" r:id="rId5" display="Abstract" xr:uid="{2AB5CD4F-886B-416A-B6DD-FDB35BCA504F}"/>
    <hyperlink ref="C43" r:id="rId6" xr:uid="{15B1D8E4-25B1-4BC4-93C0-0F14D94D5BF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BDC4-B837-40F6-9D10-E0B97A818202}">
  <dimension ref="A2:K15"/>
  <sheetViews>
    <sheetView workbookViewId="0">
      <selection activeCell="H16" sqref="H16"/>
    </sheetView>
  </sheetViews>
  <sheetFormatPr defaultColWidth="8.85546875" defaultRowHeight="15"/>
  <cols>
    <col min="1" max="1" width="14.7109375" bestFit="1" customWidth="1"/>
    <col min="3" max="3" width="23.28515625" bestFit="1" customWidth="1"/>
    <col min="4" max="4" width="22.28515625" bestFit="1" customWidth="1"/>
    <col min="5" max="5" width="12.7109375" bestFit="1" customWidth="1"/>
    <col min="7" max="7" width="24.140625" bestFit="1" customWidth="1"/>
    <col min="8" max="8" width="11.42578125" bestFit="1" customWidth="1"/>
    <col min="9" max="9" width="12.7109375" bestFit="1" customWidth="1"/>
  </cols>
  <sheetData>
    <row r="2" spans="1:11">
      <c r="A2" t="s">
        <v>185</v>
      </c>
      <c r="C2" s="11" t="s">
        <v>186</v>
      </c>
      <c r="D2" s="11" t="s">
        <v>187</v>
      </c>
      <c r="E2" s="11" t="s">
        <v>188</v>
      </c>
      <c r="G2" s="11" t="s">
        <v>189</v>
      </c>
      <c r="H2" s="11" t="s">
        <v>190</v>
      </c>
      <c r="I2" s="11" t="s">
        <v>31</v>
      </c>
      <c r="J2" s="11" t="s">
        <v>47</v>
      </c>
      <c r="K2" s="11" t="s">
        <v>191</v>
      </c>
    </row>
    <row r="3" spans="1:11">
      <c r="C3" t="s">
        <v>111</v>
      </c>
      <c r="D3">
        <f>COUNTIF('Abstract Approval Checklist'!G1:G100,"Seminar Talk")</f>
        <v>18</v>
      </c>
      <c r="E3" s="14">
        <f>D3/D6</f>
        <v>0.42857142857142855</v>
      </c>
      <c r="G3" s="11" t="s">
        <v>32</v>
      </c>
      <c r="H3">
        <f>COUNTIFS('Abstract Approval Checklist'!G1:G100,"Seminar Talk", 'Abstract Approval Checklist'!H1:H100, "Ecology")</f>
        <v>11</v>
      </c>
      <c r="I3">
        <f>COUNTIFS('Abstract Approval Checklist'!G1:G100,"Lightning Talk", 'Abstract Approval Checklist'!H1:H100, "Ecology")</f>
        <v>4</v>
      </c>
      <c r="J3">
        <f>COUNTIFS('Abstract Approval Checklist'!G1:G100,"Poster", 'Abstract Approval Checklist'!H1:H100, "Ecology")</f>
        <v>13</v>
      </c>
      <c r="K3" s="17">
        <f>SUM(H3:J3)</f>
        <v>28</v>
      </c>
    </row>
    <row r="4" spans="1:11">
      <c r="C4" t="s">
        <v>31</v>
      </c>
      <c r="D4">
        <f>COUNTIF('Abstract Approval Checklist'!G2:G101,"Lightning Talk")</f>
        <v>5</v>
      </c>
      <c r="E4" s="14">
        <f>D4/D6</f>
        <v>0.11904761904761904</v>
      </c>
      <c r="G4" s="11" t="s">
        <v>149</v>
      </c>
      <c r="H4">
        <f>COUNTIFS('Abstract Approval Checklist'!G2:G101,"Seminar Talk", 'Abstract Approval Checklist'!H2:H101, "Ethology")</f>
        <v>5</v>
      </c>
      <c r="I4">
        <f>COUNTIFS('Abstract Approval Checklist'!G2:G101,"Lightning Talk", 'Abstract Approval Checklist'!H2:H101, "Ethology")</f>
        <v>0</v>
      </c>
      <c r="J4">
        <f>COUNTIFS('Abstract Approval Checklist'!G2:G101,"Poster", 'Abstract Approval Checklist'!H2:H101, "Ethology")</f>
        <v>1</v>
      </c>
      <c r="K4" s="17">
        <f t="shared" ref="K4:K5" si="0">SUM(H4:J4)</f>
        <v>6</v>
      </c>
    </row>
    <row r="5" spans="1:11">
      <c r="C5" t="s">
        <v>47</v>
      </c>
      <c r="D5">
        <f>COUNTIF('Abstract Approval Checklist'!G3:G102,"Poster")</f>
        <v>19</v>
      </c>
      <c r="E5" s="14">
        <f>D5/D6</f>
        <v>0.45238095238095238</v>
      </c>
      <c r="G5" s="11" t="s">
        <v>43</v>
      </c>
      <c r="H5">
        <f>COUNTIFS('Abstract Approval Checklist'!G3:G102,"Seminar Talk", 'Abstract Approval Checklist'!H3:H102, "Evolution")</f>
        <v>2</v>
      </c>
      <c r="I5">
        <f>COUNTIFS('Abstract Approval Checklist'!G3:G102,"Lightning Talk", 'Abstract Approval Checklist'!H3:H102, "Evolution")</f>
        <v>1</v>
      </c>
      <c r="J5">
        <f>COUNTIFS('Abstract Approval Checklist'!G3:G102,"Poster", 'Abstract Approval Checklist'!H3:H102, "Evolution")</f>
        <v>5</v>
      </c>
      <c r="K5" s="17">
        <f t="shared" si="0"/>
        <v>8</v>
      </c>
    </row>
    <row r="6" spans="1:11">
      <c r="C6" t="s">
        <v>191</v>
      </c>
      <c r="D6">
        <f>SUM(D3:D5)</f>
        <v>42</v>
      </c>
      <c r="G6" s="16" t="s">
        <v>191</v>
      </c>
      <c r="H6" s="17">
        <f>SUM(H3:H5)</f>
        <v>18</v>
      </c>
      <c r="I6" s="17">
        <f t="shared" ref="I6:J6" si="1">SUM(I3:I5)</f>
        <v>5</v>
      </c>
      <c r="J6" s="17">
        <f t="shared" si="1"/>
        <v>19</v>
      </c>
      <c r="K6" s="15" t="s">
        <v>192</v>
      </c>
    </row>
    <row r="7" spans="1:11">
      <c r="K7" s="18"/>
    </row>
    <row r="10" spans="1:11">
      <c r="C10" s="11" t="s">
        <v>16</v>
      </c>
      <c r="D10" s="11" t="s">
        <v>187</v>
      </c>
      <c r="E10" s="11" t="s">
        <v>188</v>
      </c>
    </row>
    <row r="11" spans="1:11">
      <c r="C11" t="s">
        <v>32</v>
      </c>
      <c r="D11">
        <f>COUNTIF('Abstract Approval Checklist'!G1:H108,"Ecology")</f>
        <v>28</v>
      </c>
      <c r="E11" s="14">
        <f>D11/D14</f>
        <v>0.66666666666666663</v>
      </c>
    </row>
    <row r="12" spans="1:11">
      <c r="C12" t="s">
        <v>149</v>
      </c>
      <c r="D12">
        <f>COUNTIF('Abstract Approval Checklist'!G2:H109,"Ethology")</f>
        <v>6</v>
      </c>
      <c r="E12" s="14">
        <f>D12/D14</f>
        <v>0.14285714285714285</v>
      </c>
    </row>
    <row r="13" spans="1:11">
      <c r="C13" t="s">
        <v>43</v>
      </c>
      <c r="D13">
        <f>COUNTIF('Abstract Approval Checklist'!G3:H110,"Evolution")</f>
        <v>8</v>
      </c>
      <c r="E13" s="14">
        <f>D13/D14</f>
        <v>0.19047619047619047</v>
      </c>
    </row>
    <row r="14" spans="1:11">
      <c r="C14" t="s">
        <v>191</v>
      </c>
      <c r="D14">
        <f>SUM(D11:D13)</f>
        <v>42</v>
      </c>
    </row>
    <row r="15" spans="1:11">
      <c r="G15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D23A-2F77-4F96-AB60-23163A158E1C}">
  <dimension ref="A1:C15"/>
  <sheetViews>
    <sheetView workbookViewId="0">
      <selection activeCell="B23" sqref="B23"/>
    </sheetView>
  </sheetViews>
  <sheetFormatPr defaultColWidth="8.85546875" defaultRowHeight="15"/>
  <cols>
    <col min="1" max="1" width="16.28515625" bestFit="1" customWidth="1"/>
    <col min="2" max="2" width="12.7109375" bestFit="1" customWidth="1"/>
    <col min="3" max="3" width="19.140625" bestFit="1" customWidth="1"/>
  </cols>
  <sheetData>
    <row r="1" spans="1:3">
      <c r="A1" t="s">
        <v>193</v>
      </c>
      <c r="B1" t="s">
        <v>194</v>
      </c>
    </row>
    <row r="2" spans="1:3">
      <c r="A2" t="s">
        <v>195</v>
      </c>
      <c r="B2" t="s">
        <v>196</v>
      </c>
    </row>
    <row r="3" spans="1:3">
      <c r="A3" t="s">
        <v>197</v>
      </c>
      <c r="B3" t="s">
        <v>198</v>
      </c>
    </row>
    <row r="4" spans="1:3">
      <c r="A4" t="s">
        <v>199</v>
      </c>
      <c r="B4" t="s">
        <v>200</v>
      </c>
    </row>
    <row r="5" spans="1:3">
      <c r="A5" t="s">
        <v>201</v>
      </c>
      <c r="B5" t="s">
        <v>202</v>
      </c>
      <c r="C5" t="s">
        <v>203</v>
      </c>
    </row>
    <row r="7" spans="1:3">
      <c r="A7" s="32" t="s">
        <v>204</v>
      </c>
      <c r="B7" s="32"/>
      <c r="C7" s="32"/>
    </row>
    <row r="9" spans="1:3">
      <c r="A9" s="32" t="s">
        <v>204</v>
      </c>
      <c r="B9" s="32"/>
      <c r="C9" s="32"/>
    </row>
    <row r="11" spans="1:3">
      <c r="A11" s="32" t="s">
        <v>204</v>
      </c>
      <c r="B11" s="32"/>
      <c r="C11" s="32"/>
    </row>
    <row r="13" spans="1:3">
      <c r="A13" s="32" t="s">
        <v>204</v>
      </c>
      <c r="B13" s="32"/>
      <c r="C13" s="32"/>
    </row>
    <row r="15" spans="1:3">
      <c r="A15" t="s">
        <v>205</v>
      </c>
    </row>
  </sheetData>
  <mergeCells count="4">
    <mergeCell ref="A7:C7"/>
    <mergeCell ref="A9:C9"/>
    <mergeCell ref="A11:C11"/>
    <mergeCell ref="A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318A-D31F-418A-8839-9C8768638793}">
  <dimension ref="A1:C13"/>
  <sheetViews>
    <sheetView workbookViewId="0">
      <selection activeCell="E19" sqref="E19"/>
    </sheetView>
  </sheetViews>
  <sheetFormatPr defaultColWidth="8.85546875" defaultRowHeight="15"/>
  <cols>
    <col min="1" max="1" width="16.28515625" bestFit="1" customWidth="1"/>
    <col min="2" max="2" width="17.140625" bestFit="1" customWidth="1"/>
    <col min="3" max="3" width="19.140625" bestFit="1" customWidth="1"/>
  </cols>
  <sheetData>
    <row r="1" spans="1:3">
      <c r="A1" t="s">
        <v>193</v>
      </c>
      <c r="B1" t="s">
        <v>194</v>
      </c>
    </row>
    <row r="2" spans="1:3">
      <c r="A2" t="s">
        <v>195</v>
      </c>
      <c r="B2" t="s">
        <v>206</v>
      </c>
    </row>
    <row r="3" spans="1:3">
      <c r="A3" t="s">
        <v>197</v>
      </c>
      <c r="B3" t="s">
        <v>207</v>
      </c>
    </row>
    <row r="4" spans="1:3">
      <c r="A4" t="s">
        <v>199</v>
      </c>
      <c r="B4" t="s">
        <v>200</v>
      </c>
    </row>
    <row r="5" spans="1:3">
      <c r="A5" t="s">
        <v>201</v>
      </c>
      <c r="B5" t="s">
        <v>202</v>
      </c>
      <c r="C5" t="s">
        <v>203</v>
      </c>
    </row>
    <row r="7" spans="1:3">
      <c r="A7" s="32" t="s">
        <v>204</v>
      </c>
      <c r="B7" s="32"/>
      <c r="C7" s="32"/>
    </row>
    <row r="9" spans="1:3">
      <c r="A9" s="32" t="s">
        <v>204</v>
      </c>
      <c r="B9" s="32"/>
      <c r="C9" s="32"/>
    </row>
    <row r="11" spans="1:3">
      <c r="A11" s="32" t="s">
        <v>204</v>
      </c>
      <c r="B11" s="32"/>
      <c r="C11" s="32"/>
    </row>
    <row r="13" spans="1:3">
      <c r="A13" s="32" t="s">
        <v>204</v>
      </c>
      <c r="B13" s="32"/>
      <c r="C13" s="32"/>
    </row>
  </sheetData>
  <mergeCells count="4">
    <mergeCell ref="A7:C7"/>
    <mergeCell ref="A9:C9"/>
    <mergeCell ref="A11:C11"/>
    <mergeCell ref="A13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DB44-28DF-41CC-959A-3B66FCBA1D24}">
  <dimension ref="A1:C13"/>
  <sheetViews>
    <sheetView workbookViewId="0">
      <selection activeCell="E17" sqref="E17"/>
    </sheetView>
  </sheetViews>
  <sheetFormatPr defaultColWidth="8.85546875" defaultRowHeight="15"/>
  <cols>
    <col min="1" max="1" width="16.28515625" bestFit="1" customWidth="1"/>
    <col min="2" max="2" width="17.140625" bestFit="1" customWidth="1"/>
    <col min="3" max="3" width="19.140625" bestFit="1" customWidth="1"/>
  </cols>
  <sheetData>
    <row r="1" spans="1:3">
      <c r="A1" t="s">
        <v>193</v>
      </c>
      <c r="B1" t="s">
        <v>194</v>
      </c>
    </row>
    <row r="2" spans="1:3">
      <c r="A2" t="s">
        <v>195</v>
      </c>
      <c r="B2" t="s">
        <v>208</v>
      </c>
    </row>
    <row r="3" spans="1:3">
      <c r="A3" t="s">
        <v>197</v>
      </c>
      <c r="B3" t="s">
        <v>209</v>
      </c>
    </row>
    <row r="4" spans="1:3">
      <c r="A4" t="s">
        <v>199</v>
      </c>
      <c r="B4" t="s">
        <v>200</v>
      </c>
    </row>
    <row r="5" spans="1:3">
      <c r="A5" t="s">
        <v>201</v>
      </c>
      <c r="B5" t="s">
        <v>202</v>
      </c>
      <c r="C5" t="s">
        <v>203</v>
      </c>
    </row>
    <row r="7" spans="1:3">
      <c r="A7" s="32"/>
      <c r="B7" s="32"/>
      <c r="C7" s="32"/>
    </row>
    <row r="9" spans="1:3">
      <c r="A9" s="32"/>
      <c r="B9" s="32"/>
      <c r="C9" s="32"/>
    </row>
    <row r="11" spans="1:3">
      <c r="A11" s="32"/>
      <c r="B11" s="32"/>
      <c r="C11" s="32"/>
    </row>
    <row r="13" spans="1:3">
      <c r="A13" s="32"/>
      <c r="B13" s="32"/>
      <c r="C13" s="32"/>
    </row>
  </sheetData>
  <mergeCells count="4">
    <mergeCell ref="A7:C7"/>
    <mergeCell ref="A9:C9"/>
    <mergeCell ref="A11:C11"/>
    <mergeCell ref="A13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77E9-A293-4EB1-8D83-36693005A016}">
  <dimension ref="A1:C13"/>
  <sheetViews>
    <sheetView workbookViewId="0">
      <selection activeCell="G19" sqref="G19"/>
    </sheetView>
  </sheetViews>
  <sheetFormatPr defaultColWidth="8.85546875" defaultRowHeight="15"/>
  <cols>
    <col min="1" max="1" width="16.28515625" bestFit="1" customWidth="1"/>
    <col min="2" max="2" width="17.140625" bestFit="1" customWidth="1"/>
    <col min="3" max="3" width="19.140625" bestFit="1" customWidth="1"/>
  </cols>
  <sheetData>
    <row r="1" spans="1:3">
      <c r="A1" t="s">
        <v>193</v>
      </c>
      <c r="B1" t="s">
        <v>194</v>
      </c>
    </row>
    <row r="2" spans="1:3">
      <c r="A2" t="s">
        <v>195</v>
      </c>
      <c r="B2" t="s">
        <v>210</v>
      </c>
    </row>
    <row r="3" spans="1:3">
      <c r="A3" t="s">
        <v>197</v>
      </c>
      <c r="B3" t="s">
        <v>211</v>
      </c>
    </row>
    <row r="4" spans="1:3">
      <c r="A4" t="s">
        <v>199</v>
      </c>
      <c r="B4" t="s">
        <v>200</v>
      </c>
    </row>
    <row r="5" spans="1:3">
      <c r="A5" t="s">
        <v>201</v>
      </c>
      <c r="B5" t="s">
        <v>202</v>
      </c>
      <c r="C5" t="s">
        <v>203</v>
      </c>
    </row>
    <row r="7" spans="1:3">
      <c r="A7" s="32" t="s">
        <v>204</v>
      </c>
      <c r="B7" s="32"/>
      <c r="C7" s="32"/>
    </row>
    <row r="9" spans="1:3">
      <c r="A9" s="32" t="s">
        <v>204</v>
      </c>
      <c r="B9" s="32"/>
      <c r="C9" s="32"/>
    </row>
    <row r="11" spans="1:3">
      <c r="A11" s="32" t="s">
        <v>204</v>
      </c>
      <c r="B11" s="32"/>
      <c r="C11" s="32"/>
    </row>
    <row r="13" spans="1:3">
      <c r="A13" s="32" t="s">
        <v>204</v>
      </c>
      <c r="B13" s="32"/>
      <c r="C13" s="32"/>
    </row>
  </sheetData>
  <mergeCells count="4">
    <mergeCell ref="A7:C7"/>
    <mergeCell ref="A9:C9"/>
    <mergeCell ref="A11:C11"/>
    <mergeCell ref="A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8CF6-E922-48A8-906D-4C7C3255B469}">
  <dimension ref="A1:C13"/>
  <sheetViews>
    <sheetView workbookViewId="0">
      <selection activeCell="H18" sqref="H18"/>
    </sheetView>
  </sheetViews>
  <sheetFormatPr defaultColWidth="8.85546875" defaultRowHeight="15"/>
  <cols>
    <col min="1" max="1" width="16.28515625" bestFit="1" customWidth="1"/>
    <col min="2" max="2" width="17.140625" bestFit="1" customWidth="1"/>
    <col min="3" max="3" width="19.140625" bestFit="1" customWidth="1"/>
  </cols>
  <sheetData>
    <row r="1" spans="1:3">
      <c r="A1" t="s">
        <v>193</v>
      </c>
      <c r="B1" t="s">
        <v>212</v>
      </c>
    </row>
    <row r="2" spans="1:3">
      <c r="A2" t="s">
        <v>195</v>
      </c>
      <c r="B2" t="s">
        <v>213</v>
      </c>
    </row>
    <row r="3" spans="1:3">
      <c r="A3" t="s">
        <v>197</v>
      </c>
      <c r="B3" t="s">
        <v>211</v>
      </c>
    </row>
    <row r="4" spans="1:3">
      <c r="A4" t="s">
        <v>199</v>
      </c>
      <c r="B4" t="s">
        <v>200</v>
      </c>
    </row>
    <row r="5" spans="1:3">
      <c r="A5" t="s">
        <v>201</v>
      </c>
      <c r="B5" t="s">
        <v>202</v>
      </c>
      <c r="C5" t="s">
        <v>203</v>
      </c>
    </row>
    <row r="7" spans="1:3">
      <c r="A7" s="32" t="s">
        <v>204</v>
      </c>
      <c r="B7" s="32"/>
      <c r="C7" s="32"/>
    </row>
    <row r="9" spans="1:3">
      <c r="A9" s="32" t="s">
        <v>204</v>
      </c>
      <c r="B9" s="32"/>
      <c r="C9" s="32"/>
    </row>
    <row r="11" spans="1:3">
      <c r="A11" s="32" t="s">
        <v>204</v>
      </c>
      <c r="B11" s="32"/>
      <c r="C11" s="32"/>
    </row>
    <row r="13" spans="1:3">
      <c r="A13" s="32" t="s">
        <v>204</v>
      </c>
      <c r="B13" s="32"/>
      <c r="C13" s="32"/>
    </row>
  </sheetData>
  <mergeCells count="4">
    <mergeCell ref="A7:C7"/>
    <mergeCell ref="A9:C9"/>
    <mergeCell ref="A11:C11"/>
    <mergeCell ref="A13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8454-8E68-404C-9B58-B0A6E509D746}">
  <dimension ref="A1:C13"/>
  <sheetViews>
    <sheetView workbookViewId="0">
      <selection activeCell="I18" sqref="I18"/>
    </sheetView>
  </sheetViews>
  <sheetFormatPr defaultColWidth="8.85546875" defaultRowHeight="15"/>
  <cols>
    <col min="1" max="1" width="16.28515625" bestFit="1" customWidth="1"/>
    <col min="2" max="2" width="17.140625" bestFit="1" customWidth="1"/>
    <col min="3" max="3" width="19.140625" bestFit="1" customWidth="1"/>
  </cols>
  <sheetData>
    <row r="1" spans="1:3">
      <c r="A1" t="s">
        <v>193</v>
      </c>
      <c r="B1" t="s">
        <v>212</v>
      </c>
    </row>
    <row r="2" spans="1:3">
      <c r="A2" t="s">
        <v>195</v>
      </c>
      <c r="B2" t="s">
        <v>206</v>
      </c>
    </row>
    <row r="3" spans="1:3">
      <c r="A3" t="s">
        <v>197</v>
      </c>
      <c r="B3" t="s">
        <v>211</v>
      </c>
    </row>
    <row r="4" spans="1:3">
      <c r="A4" t="s">
        <v>199</v>
      </c>
      <c r="B4" t="s">
        <v>200</v>
      </c>
    </row>
    <row r="5" spans="1:3">
      <c r="A5" t="s">
        <v>201</v>
      </c>
      <c r="B5" t="s">
        <v>202</v>
      </c>
      <c r="C5" t="s">
        <v>203</v>
      </c>
    </row>
    <row r="7" spans="1:3">
      <c r="A7" s="32" t="s">
        <v>204</v>
      </c>
      <c r="B7" s="32"/>
      <c r="C7" s="32"/>
    </row>
    <row r="9" spans="1:3">
      <c r="A9" s="32" t="s">
        <v>204</v>
      </c>
      <c r="B9" s="32"/>
      <c r="C9" s="32"/>
    </row>
    <row r="11" spans="1:3">
      <c r="A11" s="32" t="s">
        <v>204</v>
      </c>
      <c r="B11" s="32"/>
      <c r="C11" s="32"/>
    </row>
    <row r="13" spans="1:3">
      <c r="A13" s="32" t="s">
        <v>204</v>
      </c>
      <c r="B13" s="32"/>
      <c r="C13" s="32"/>
    </row>
  </sheetData>
  <mergeCells count="4">
    <mergeCell ref="A7:C7"/>
    <mergeCell ref="A9:C9"/>
    <mergeCell ref="A11:C11"/>
    <mergeCell ref="A13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8F43-61D8-4CE3-9FD0-747A6A451FD3}">
  <dimension ref="A1:C13"/>
  <sheetViews>
    <sheetView workbookViewId="0">
      <selection activeCell="E8" sqref="E8"/>
    </sheetView>
  </sheetViews>
  <sheetFormatPr defaultColWidth="8.85546875" defaultRowHeight="15"/>
  <cols>
    <col min="1" max="1" width="16.28515625" bestFit="1" customWidth="1"/>
    <col min="2" max="2" width="14" bestFit="1" customWidth="1"/>
    <col min="3" max="3" width="19.140625" bestFit="1" customWidth="1"/>
  </cols>
  <sheetData>
    <row r="1" spans="1:3">
      <c r="A1" t="s">
        <v>193</v>
      </c>
      <c r="B1" t="s">
        <v>212</v>
      </c>
    </row>
    <row r="2" spans="1:3">
      <c r="A2" t="s">
        <v>195</v>
      </c>
      <c r="B2" t="s">
        <v>214</v>
      </c>
    </row>
    <row r="3" spans="1:3">
      <c r="A3" t="s">
        <v>197</v>
      </c>
      <c r="B3" t="s">
        <v>209</v>
      </c>
    </row>
    <row r="4" spans="1:3">
      <c r="A4" t="s">
        <v>199</v>
      </c>
      <c r="B4" t="s">
        <v>200</v>
      </c>
    </row>
    <row r="5" spans="1:3">
      <c r="A5" t="s">
        <v>201</v>
      </c>
      <c r="B5" t="s">
        <v>202</v>
      </c>
      <c r="C5" t="s">
        <v>203</v>
      </c>
    </row>
    <row r="7" spans="1:3">
      <c r="A7" s="32"/>
      <c r="B7" s="32"/>
      <c r="C7" s="32"/>
    </row>
    <row r="9" spans="1:3">
      <c r="A9" s="32"/>
      <c r="B9" s="32"/>
      <c r="C9" s="32"/>
    </row>
    <row r="11" spans="1:3">
      <c r="A11" s="32"/>
      <c r="B11" s="32"/>
      <c r="C11" s="32"/>
    </row>
    <row r="13" spans="1:3">
      <c r="A13" s="32"/>
      <c r="B13" s="32"/>
      <c r="C13" s="32"/>
    </row>
  </sheetData>
  <mergeCells count="4">
    <mergeCell ref="A7:C7"/>
    <mergeCell ref="A9:C9"/>
    <mergeCell ref="A11:C11"/>
    <mergeCell ref="A13:C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C1DFD9-8FF0-4699-A1B1-2B05998F77BB}"/>
</file>

<file path=customXml/itemProps2.xml><?xml version="1.0" encoding="utf-8"?>
<ds:datastoreItem xmlns:ds="http://schemas.openxmlformats.org/officeDocument/2006/customXml" ds:itemID="{2AED0A79-4A51-4745-8DC3-636954BCD993}"/>
</file>

<file path=customXml/itemProps3.xml><?xml version="1.0" encoding="utf-8"?>
<ds:datastoreItem xmlns:ds="http://schemas.openxmlformats.org/officeDocument/2006/customXml" ds:itemID="{A32C9F70-6036-4252-8D03-EC35BAB18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Nicholas Benton</cp:lastModifiedBy>
  <cp:revision/>
  <dcterms:created xsi:type="dcterms:W3CDTF">2026-03-25T14:51:42Z</dcterms:created>
  <dcterms:modified xsi:type="dcterms:W3CDTF">2026-04-23T14:40:01Z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